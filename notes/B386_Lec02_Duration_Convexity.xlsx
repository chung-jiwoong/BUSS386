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wchung\Dropbox\Teaching\BA Derivatives\LN_202602\Lec02_Interest\"/>
    </mc:Choice>
  </mc:AlternateContent>
  <xr:revisionPtr revIDLastSave="0" documentId="13_ncr:1_{B6D2D2DE-B321-42C3-9348-D9D3E228CA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miannual bonds" sheetId="1" r:id="rId1"/>
    <sheet name="Annual bo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M11" i="2"/>
  <c r="F11" i="2"/>
  <c r="M10" i="2"/>
  <c r="F10" i="2"/>
  <c r="M9" i="2"/>
  <c r="F9" i="2"/>
  <c r="M8" i="2"/>
  <c r="F8" i="2"/>
  <c r="B8" i="2"/>
  <c r="J8" i="2" s="1"/>
  <c r="M7" i="2"/>
  <c r="F7" i="2"/>
  <c r="B7" i="2"/>
  <c r="C7" i="2" s="1"/>
  <c r="L2" i="2"/>
  <c r="L60" i="1"/>
  <c r="F60" i="1"/>
  <c r="L59" i="1"/>
  <c r="F59" i="1"/>
  <c r="L58" i="1"/>
  <c r="F58" i="1"/>
  <c r="L57" i="1"/>
  <c r="F57" i="1"/>
  <c r="L56" i="1"/>
  <c r="F56" i="1"/>
  <c r="L55" i="1"/>
  <c r="F55" i="1"/>
  <c r="L54" i="1"/>
  <c r="F54" i="1"/>
  <c r="L53" i="1"/>
  <c r="F53" i="1"/>
  <c r="L52" i="1"/>
  <c r="F52" i="1"/>
  <c r="L51" i="1"/>
  <c r="F51" i="1"/>
  <c r="L50" i="1"/>
  <c r="F50" i="1"/>
  <c r="L49" i="1"/>
  <c r="F49" i="1"/>
  <c r="L48" i="1"/>
  <c r="F48" i="1"/>
  <c r="L47" i="1"/>
  <c r="F47" i="1"/>
  <c r="L46" i="1"/>
  <c r="F46" i="1"/>
  <c r="L45" i="1"/>
  <c r="F45" i="1"/>
  <c r="L44" i="1"/>
  <c r="F44" i="1"/>
  <c r="L43" i="1"/>
  <c r="F43" i="1"/>
  <c r="L42" i="1"/>
  <c r="F42" i="1"/>
  <c r="L41" i="1"/>
  <c r="F41" i="1"/>
  <c r="B41" i="1"/>
  <c r="C41" i="1" s="1"/>
  <c r="D38" i="1"/>
  <c r="L31" i="1"/>
  <c r="F31" i="1"/>
  <c r="L30" i="1"/>
  <c r="F30" i="1"/>
  <c r="L29" i="1"/>
  <c r="F29" i="1"/>
  <c r="L28" i="1"/>
  <c r="F28" i="1"/>
  <c r="L27" i="1"/>
  <c r="F27" i="1"/>
  <c r="B27" i="1"/>
  <c r="B28" i="1" s="1"/>
  <c r="L26" i="1"/>
  <c r="F26" i="1"/>
  <c r="B26" i="1"/>
  <c r="D23" i="1"/>
  <c r="S22" i="1"/>
  <c r="R22" i="1"/>
  <c r="S21" i="1"/>
  <c r="R21" i="1"/>
  <c r="T21" i="1" s="1"/>
  <c r="S20" i="1"/>
  <c r="R20" i="1"/>
  <c r="R19" i="1"/>
  <c r="L16" i="1"/>
  <c r="F16" i="1"/>
  <c r="L15" i="1"/>
  <c r="F15" i="1"/>
  <c r="L14" i="1"/>
  <c r="F14" i="1"/>
  <c r="L13" i="1"/>
  <c r="F13" i="1"/>
  <c r="L12" i="1"/>
  <c r="F12" i="1"/>
  <c r="R11" i="1"/>
  <c r="L11" i="1"/>
  <c r="F11" i="1"/>
  <c r="L10" i="1"/>
  <c r="F10" i="1"/>
  <c r="L9" i="1"/>
  <c r="F9" i="1"/>
  <c r="L8" i="1"/>
  <c r="F8" i="1"/>
  <c r="B8" i="1"/>
  <c r="C8" i="1" s="1"/>
  <c r="L7" i="1"/>
  <c r="F7" i="1"/>
  <c r="B7" i="1"/>
  <c r="J3" i="1"/>
  <c r="B42" i="1" l="1"/>
  <c r="T22" i="1"/>
  <c r="I7" i="1"/>
  <c r="I26" i="1"/>
  <c r="C7" i="1"/>
  <c r="T20" i="1"/>
  <c r="I41" i="1"/>
  <c r="I28" i="1"/>
  <c r="B29" i="1"/>
  <c r="C28" i="1"/>
  <c r="B9" i="1"/>
  <c r="I8" i="1"/>
  <c r="C8" i="2"/>
  <c r="C26" i="1"/>
  <c r="I27" i="1"/>
  <c r="C42" i="1"/>
  <c r="J7" i="2"/>
  <c r="B9" i="2"/>
  <c r="C27" i="1"/>
  <c r="I42" i="1" l="1"/>
  <c r="B43" i="1"/>
  <c r="B10" i="2"/>
  <c r="C9" i="2"/>
  <c r="J9" i="2"/>
  <c r="I9" i="1"/>
  <c r="B10" i="1"/>
  <c r="C9" i="1"/>
  <c r="B30" i="1"/>
  <c r="C29" i="1"/>
  <c r="I29" i="1"/>
  <c r="B44" i="1" l="1"/>
  <c r="C43" i="1"/>
  <c r="I43" i="1"/>
  <c r="B11" i="1"/>
  <c r="C10" i="1"/>
  <c r="I10" i="1"/>
  <c r="C30" i="1"/>
  <c r="I30" i="1"/>
  <c r="B31" i="1"/>
  <c r="C10" i="2"/>
  <c r="J10" i="2"/>
  <c r="B11" i="2"/>
  <c r="J23" i="2" s="1"/>
  <c r="C23" i="2" l="1"/>
  <c r="I44" i="1"/>
  <c r="B45" i="1"/>
  <c r="C44" i="1"/>
  <c r="I11" i="1"/>
  <c r="B12" i="1"/>
  <c r="C11" i="1"/>
  <c r="I31" i="1"/>
  <c r="I32" i="1" s="1"/>
  <c r="C31" i="1"/>
  <c r="J11" i="2"/>
  <c r="C11" i="2"/>
  <c r="I45" i="1" l="1"/>
  <c r="B46" i="1"/>
  <c r="C45" i="1"/>
  <c r="J26" i="1"/>
  <c r="J27" i="1"/>
  <c r="J28" i="1"/>
  <c r="J29" i="1"/>
  <c r="J30" i="1"/>
  <c r="J17" i="2"/>
  <c r="B13" i="1"/>
  <c r="I12" i="1"/>
  <c r="C12" i="1"/>
  <c r="J31" i="1"/>
  <c r="C32" i="1"/>
  <c r="F23" i="1" s="1"/>
  <c r="C17" i="2"/>
  <c r="C22" i="2" s="1"/>
  <c r="C24" i="2" s="1"/>
  <c r="K11" i="2" l="1"/>
  <c r="J22" i="2"/>
  <c r="J24" i="2" s="1"/>
  <c r="C46" i="1"/>
  <c r="I46" i="1"/>
  <c r="B47" i="1"/>
  <c r="D11" i="2"/>
  <c r="E11" i="2" s="1"/>
  <c r="L11" i="2"/>
  <c r="N11" i="2"/>
  <c r="K30" i="1"/>
  <c r="M30" i="1"/>
  <c r="D28" i="1"/>
  <c r="D26" i="1"/>
  <c r="D27" i="1"/>
  <c r="D29" i="1"/>
  <c r="D30" i="1"/>
  <c r="K29" i="1"/>
  <c r="M29" i="1"/>
  <c r="D31" i="1"/>
  <c r="K31" i="1"/>
  <c r="M31" i="1"/>
  <c r="K28" i="1"/>
  <c r="M28" i="1"/>
  <c r="D7" i="2"/>
  <c r="D8" i="2"/>
  <c r="D9" i="2"/>
  <c r="D10" i="2"/>
  <c r="C13" i="1"/>
  <c r="I13" i="1"/>
  <c r="B14" i="1"/>
  <c r="K27" i="1"/>
  <c r="M27" i="1"/>
  <c r="K8" i="2"/>
  <c r="K7" i="2"/>
  <c r="K9" i="2"/>
  <c r="K10" i="2"/>
  <c r="M26" i="1"/>
  <c r="K26" i="1"/>
  <c r="G11" i="2" l="1"/>
  <c r="I47" i="1"/>
  <c r="C47" i="1"/>
  <c r="B48" i="1"/>
  <c r="K32" i="1"/>
  <c r="K33" i="1" s="1"/>
  <c r="M32" i="1"/>
  <c r="M33" i="1" s="1"/>
  <c r="E31" i="1"/>
  <c r="G31" i="1"/>
  <c r="I14" i="1"/>
  <c r="B15" i="1"/>
  <c r="C14" i="1"/>
  <c r="E7" i="2"/>
  <c r="G7" i="2"/>
  <c r="G17" i="2" s="1"/>
  <c r="G18" i="2" s="1"/>
  <c r="E26" i="1"/>
  <c r="G26" i="1"/>
  <c r="E28" i="1"/>
  <c r="G28" i="1"/>
  <c r="L10" i="2"/>
  <c r="N10" i="2"/>
  <c r="N7" i="2"/>
  <c r="L7" i="2"/>
  <c r="E8" i="2"/>
  <c r="G8" i="2"/>
  <c r="E29" i="1"/>
  <c r="G29" i="1"/>
  <c r="E27" i="1"/>
  <c r="G27" i="1"/>
  <c r="N9" i="2"/>
  <c r="L9" i="2"/>
  <c r="L8" i="2"/>
  <c r="N8" i="2"/>
  <c r="E10" i="2"/>
  <c r="G10" i="2"/>
  <c r="E9" i="2"/>
  <c r="G9" i="2"/>
  <c r="E30" i="1"/>
  <c r="G30" i="1"/>
  <c r="E32" i="1" l="1"/>
  <c r="E33" i="1" s="1"/>
  <c r="C48" i="1"/>
  <c r="I48" i="1"/>
  <c r="B49" i="1"/>
  <c r="B16" i="1"/>
  <c r="S5" i="1" s="1"/>
  <c r="C15" i="1"/>
  <c r="I15" i="1"/>
  <c r="N17" i="2"/>
  <c r="N18" i="2" s="1"/>
  <c r="E17" i="2"/>
  <c r="E18" i="2" s="1"/>
  <c r="F22" i="2" s="1"/>
  <c r="L17" i="2"/>
  <c r="G32" i="1"/>
  <c r="G33" i="1" s="1"/>
  <c r="I49" i="1" l="1"/>
  <c r="B50" i="1"/>
  <c r="C49" i="1"/>
  <c r="G22" i="2"/>
  <c r="F23" i="2"/>
  <c r="G23" i="2" s="1"/>
  <c r="L18" i="2"/>
  <c r="M22" i="2"/>
  <c r="C16" i="1"/>
  <c r="I16" i="1"/>
  <c r="I50" i="1" l="1"/>
  <c r="B51" i="1"/>
  <c r="C50" i="1"/>
  <c r="C17" i="1"/>
  <c r="T5" i="1" s="1"/>
  <c r="I17" i="1"/>
  <c r="M23" i="2"/>
  <c r="N23" i="2" s="1"/>
  <c r="N22" i="2"/>
  <c r="B52" i="1" l="1"/>
  <c r="C51" i="1"/>
  <c r="I51" i="1"/>
  <c r="J7" i="1"/>
  <c r="J8" i="1"/>
  <c r="J9" i="1"/>
  <c r="J10" i="1"/>
  <c r="J11" i="1"/>
  <c r="J12" i="1"/>
  <c r="J13" i="1"/>
  <c r="J14" i="1"/>
  <c r="J15" i="1"/>
  <c r="J16" i="1"/>
  <c r="D8" i="1"/>
  <c r="D7" i="1"/>
  <c r="D9" i="1"/>
  <c r="D10" i="1"/>
  <c r="D11" i="1"/>
  <c r="D12" i="1"/>
  <c r="D13" i="1"/>
  <c r="D14" i="1"/>
  <c r="D15" i="1"/>
  <c r="D16" i="1"/>
  <c r="I52" i="1" l="1"/>
  <c r="C52" i="1"/>
  <c r="B53" i="1"/>
  <c r="E14" i="1"/>
  <c r="G14" i="1"/>
  <c r="E15" i="1"/>
  <c r="G15" i="1"/>
  <c r="K8" i="1"/>
  <c r="M8" i="1"/>
  <c r="K14" i="1"/>
  <c r="M14" i="1"/>
  <c r="G11" i="1"/>
  <c r="E11" i="1"/>
  <c r="K12" i="1"/>
  <c r="M12" i="1"/>
  <c r="E8" i="1"/>
  <c r="G8" i="1"/>
  <c r="K16" i="1"/>
  <c r="M16" i="1"/>
  <c r="K15" i="1"/>
  <c r="M15" i="1"/>
  <c r="G12" i="1"/>
  <c r="E12" i="1"/>
  <c r="M13" i="1"/>
  <c r="K13" i="1"/>
  <c r="E10" i="1"/>
  <c r="G10" i="1"/>
  <c r="K9" i="1"/>
  <c r="M9" i="1"/>
  <c r="E13" i="1"/>
  <c r="G13" i="1"/>
  <c r="K7" i="1"/>
  <c r="M7" i="1"/>
  <c r="G9" i="1"/>
  <c r="E9" i="1"/>
  <c r="K11" i="1"/>
  <c r="M11" i="1"/>
  <c r="E16" i="1"/>
  <c r="G16" i="1"/>
  <c r="G7" i="1"/>
  <c r="E7" i="1"/>
  <c r="M10" i="1"/>
  <c r="K10" i="1"/>
  <c r="K17" i="1" l="1"/>
  <c r="C53" i="1"/>
  <c r="B54" i="1"/>
  <c r="I53" i="1"/>
  <c r="G17" i="1"/>
  <c r="G18" i="1" s="1"/>
  <c r="T13" i="1"/>
  <c r="U13" i="1" s="1"/>
  <c r="K18" i="1"/>
  <c r="E17" i="1"/>
  <c r="E18" i="1" s="1"/>
  <c r="M17" i="1"/>
  <c r="M18" i="1" s="1"/>
  <c r="C54" i="1" l="1"/>
  <c r="I54" i="1"/>
  <c r="B55" i="1"/>
  <c r="T8" i="1"/>
  <c r="U8" i="1" s="1"/>
  <c r="T7" i="1"/>
  <c r="U7" i="1" s="1"/>
  <c r="T14" i="1"/>
  <c r="U14" i="1" s="1"/>
  <c r="B56" i="1" l="1"/>
  <c r="C55" i="1"/>
  <c r="I55" i="1"/>
  <c r="B57" i="1" l="1"/>
  <c r="C56" i="1"/>
  <c r="I56" i="1"/>
  <c r="C57" i="1" l="1"/>
  <c r="I57" i="1"/>
  <c r="B58" i="1"/>
  <c r="I58" i="1" l="1"/>
  <c r="B59" i="1"/>
  <c r="C58" i="1"/>
  <c r="B60" i="1" l="1"/>
  <c r="C59" i="1"/>
  <c r="I59" i="1"/>
  <c r="I60" i="1" l="1"/>
  <c r="C60" i="1"/>
  <c r="C61" i="1" l="1"/>
  <c r="I61" i="1"/>
  <c r="J46" i="1" l="1"/>
  <c r="J54" i="1"/>
  <c r="J47" i="1"/>
  <c r="J55" i="1"/>
  <c r="J56" i="1"/>
  <c r="J41" i="1"/>
  <c r="J49" i="1"/>
  <c r="J42" i="1"/>
  <c r="J50" i="1"/>
  <c r="J44" i="1"/>
  <c r="J52" i="1"/>
  <c r="J53" i="1"/>
  <c r="J48" i="1"/>
  <c r="J57" i="1"/>
  <c r="J58" i="1"/>
  <c r="J59" i="1"/>
  <c r="J43" i="1"/>
  <c r="J51" i="1"/>
  <c r="J45" i="1"/>
  <c r="F38" i="1"/>
  <c r="D43" i="1"/>
  <c r="D50" i="1"/>
  <c r="D58" i="1"/>
  <c r="D42" i="1"/>
  <c r="D51" i="1"/>
  <c r="D59" i="1"/>
  <c r="D52" i="1"/>
  <c r="D45" i="1"/>
  <c r="D54" i="1"/>
  <c r="D47" i="1"/>
  <c r="D48" i="1"/>
  <c r="D56" i="1"/>
  <c r="D57" i="1"/>
  <c r="D53" i="1"/>
  <c r="D41" i="1"/>
  <c r="D44" i="1"/>
  <c r="D46" i="1"/>
  <c r="D55" i="1"/>
  <c r="D49" i="1"/>
  <c r="J60" i="1"/>
  <c r="D60" i="1"/>
  <c r="M60" i="1" l="1"/>
  <c r="K60" i="1"/>
  <c r="E56" i="1"/>
  <c r="G56" i="1"/>
  <c r="G42" i="1"/>
  <c r="E42" i="1"/>
  <c r="K59" i="1"/>
  <c r="M59" i="1"/>
  <c r="M42" i="1"/>
  <c r="K42" i="1"/>
  <c r="G49" i="1"/>
  <c r="E49" i="1"/>
  <c r="E48" i="1"/>
  <c r="G48" i="1"/>
  <c r="E58" i="1"/>
  <c r="G58" i="1"/>
  <c r="K58" i="1"/>
  <c r="M58" i="1"/>
  <c r="K49" i="1"/>
  <c r="M49" i="1"/>
  <c r="G55" i="1"/>
  <c r="E55" i="1"/>
  <c r="E47" i="1"/>
  <c r="G47" i="1"/>
  <c r="E50" i="1"/>
  <c r="G50" i="1"/>
  <c r="K57" i="1"/>
  <c r="M57" i="1"/>
  <c r="K41" i="1"/>
  <c r="M41" i="1"/>
  <c r="G46" i="1"/>
  <c r="E46" i="1"/>
  <c r="E54" i="1"/>
  <c r="G54" i="1"/>
  <c r="E43" i="1"/>
  <c r="G43" i="1"/>
  <c r="M48" i="1"/>
  <c r="K48" i="1"/>
  <c r="K56" i="1"/>
  <c r="M56" i="1"/>
  <c r="G44" i="1"/>
  <c r="E44" i="1"/>
  <c r="G45" i="1"/>
  <c r="E45" i="1"/>
  <c r="M53" i="1"/>
  <c r="K53" i="1"/>
  <c r="K55" i="1"/>
  <c r="M55" i="1"/>
  <c r="E41" i="1"/>
  <c r="G41" i="1"/>
  <c r="G52" i="1"/>
  <c r="E52" i="1"/>
  <c r="K45" i="1"/>
  <c r="M45" i="1"/>
  <c r="K52" i="1"/>
  <c r="M52" i="1"/>
  <c r="M47" i="1"/>
  <c r="K47" i="1"/>
  <c r="E53" i="1"/>
  <c r="G53" i="1"/>
  <c r="E59" i="1"/>
  <c r="G59" i="1"/>
  <c r="K51" i="1"/>
  <c r="M51" i="1"/>
  <c r="M44" i="1"/>
  <c r="K44" i="1"/>
  <c r="K54" i="1"/>
  <c r="M54" i="1"/>
  <c r="G60" i="1"/>
  <c r="E60" i="1"/>
  <c r="E57" i="1"/>
  <c r="G57" i="1"/>
  <c r="E51" i="1"/>
  <c r="G51" i="1"/>
  <c r="K43" i="1"/>
  <c r="M43" i="1"/>
  <c r="K50" i="1"/>
  <c r="M50" i="1"/>
  <c r="M46" i="1"/>
  <c r="K46" i="1"/>
  <c r="M61" i="1" l="1"/>
  <c r="M62" i="1" s="1"/>
  <c r="K61" i="1"/>
  <c r="K62" i="1" s="1"/>
  <c r="G61" i="1"/>
  <c r="G62" i="1" s="1"/>
  <c r="E61" i="1"/>
  <c r="E62" i="1" s="1"/>
</calcChain>
</file>

<file path=xl/sharedStrings.xml><?xml version="1.0" encoding="utf-8"?>
<sst xmlns="http://schemas.openxmlformats.org/spreadsheetml/2006/main" count="137" uniqueCount="44">
  <si>
    <t>5 year corporate bond</t>
  </si>
  <si>
    <t>c=</t>
  </si>
  <si>
    <t>y(semi)=</t>
  </si>
  <si>
    <t>k=</t>
  </si>
  <si>
    <t>y(cc)=</t>
  </si>
  <si>
    <t>When y(semi) increases by</t>
  </si>
  <si>
    <t>M=</t>
  </si>
  <si>
    <t>Using y(semi)</t>
  </si>
  <si>
    <t>Using y(cc)</t>
  </si>
  <si>
    <t xml:space="preserve">What is dP/P? </t>
  </si>
  <si>
    <t>Actual change</t>
  </si>
  <si>
    <t>ti</t>
  </si>
  <si>
    <t>Ki</t>
  </si>
  <si>
    <t>PV(Ki)</t>
  </si>
  <si>
    <t>wi</t>
  </si>
  <si>
    <t>ti*wi</t>
  </si>
  <si>
    <t>ti*(ti+1/m)</t>
  </si>
  <si>
    <t>ti*(ti+1/m)*wi</t>
  </si>
  <si>
    <t>ti^2</t>
  </si>
  <si>
    <t>ti^2*wi</t>
  </si>
  <si>
    <t>D</t>
  </si>
  <si>
    <t>C</t>
  </si>
  <si>
    <t xml:space="preserve">y(cc) increases by </t>
  </si>
  <si>
    <t>D_{Mac}</t>
  </si>
  <si>
    <t>C_{Mac}</t>
  </si>
  <si>
    <t>D_{Mod}</t>
  </si>
  <si>
    <t>C_{Mod}</t>
  </si>
  <si>
    <t>y(semi)</t>
  </si>
  <si>
    <t>y(cc)</t>
  </si>
  <si>
    <t>dy(semi)</t>
  </si>
  <si>
    <t>dy(cc)</t>
  </si>
  <si>
    <t>3 year Treasury bond</t>
  </si>
  <si>
    <t>P=</t>
  </si>
  <si>
    <t>10 year Treasury bond</t>
  </si>
  <si>
    <t>y(ann)=</t>
  </si>
  <si>
    <t>dy=</t>
  </si>
  <si>
    <t>P0=</t>
  </si>
  <si>
    <t>P1=</t>
  </si>
  <si>
    <t>D_{Mac}</t>
    <phoneticPr fontId="2" type="noConversion"/>
  </si>
  <si>
    <t>C_{Mac}</t>
    <phoneticPr fontId="2" type="noConversion"/>
  </si>
  <si>
    <t>D_{Mod}</t>
    <phoneticPr fontId="2" type="noConversion"/>
  </si>
  <si>
    <t>C_{Mod}</t>
    <phoneticPr fontId="2" type="noConversion"/>
  </si>
  <si>
    <t>5 year corporate bond (annual C)</t>
    <phoneticPr fontId="2" type="noConversion"/>
  </si>
  <si>
    <t>Using y(ann)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</si>
</sst>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0%"/>
    <numFmt numFmtId="178" formatCode="0.0000"/>
    <numFmt numFmtId="179" formatCode="0.00000"/>
    <numFmt numFmtId="180" formatCode="0.00000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8"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0" fontId="0" fillId="2" borderId="0" xfId="0" applyFill="1" applyAlignment="1">
      <alignment vertical="center"/>
    </xf>
    <xf numFmtId="0" fontId="4" fillId="0" borderId="0" xfId="0" applyFon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8" fontId="5" fillId="0" borderId="0" xfId="0" applyNumberFormat="1" applyFont="1" applyAlignment="1">
      <alignment vertical="center"/>
    </xf>
    <xf numFmtId="0" fontId="0" fillId="0" borderId="0" xfId="0" quotePrefix="1" applyAlignment="1">
      <alignment vertical="center"/>
    </xf>
    <xf numFmtId="179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  <xf numFmtId="177" fontId="0" fillId="0" borderId="0" xfId="1" applyNumberFormat="1" applyFont="1" applyAlignment="1">
      <alignment vertical="center"/>
    </xf>
    <xf numFmtId="0" fontId="0" fillId="0" borderId="0" xfId="0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62"/>
  <sheetViews>
    <sheetView workbookViewId="0">
      <selection activeCell="M33" sqref="M33"/>
    </sheetView>
  </sheetViews>
  <sheetFormatPr defaultRowHeight="16.5" x14ac:dyDescent="0.3"/>
  <cols>
    <col min="4" max="4" width="9.25" style="17" customWidth="1"/>
    <col min="20" max="20" width="9" style="11" customWidth="1"/>
  </cols>
  <sheetData>
    <row r="2" spans="1:21" x14ac:dyDescent="0.3">
      <c r="A2" s="5" t="s">
        <v>0</v>
      </c>
    </row>
    <row r="3" spans="1:21" x14ac:dyDescent="0.3">
      <c r="A3" s="7" t="s">
        <v>1</v>
      </c>
      <c r="B3" s="6">
        <v>6.9000000000000006E-2</v>
      </c>
      <c r="C3" s="7" t="s">
        <v>2</v>
      </c>
      <c r="D3" s="6">
        <v>6.9000000000000006E-2</v>
      </c>
      <c r="E3" s="7" t="s">
        <v>3</v>
      </c>
      <c r="F3" s="7">
        <v>2</v>
      </c>
      <c r="I3" s="7" t="s">
        <v>4</v>
      </c>
      <c r="J3" s="6">
        <f>2*LN(1+D3/F3)</f>
        <v>6.7836436406921288E-2</v>
      </c>
      <c r="K3" s="7" t="s">
        <v>3</v>
      </c>
      <c r="L3" s="7">
        <v>2</v>
      </c>
      <c r="O3" s="7" t="s">
        <v>5</v>
      </c>
      <c r="R3" s="10">
        <v>0.01</v>
      </c>
    </row>
    <row r="4" spans="1:21" x14ac:dyDescent="0.3">
      <c r="A4" s="7" t="s">
        <v>6</v>
      </c>
      <c r="B4" s="7">
        <v>1000</v>
      </c>
      <c r="J4" s="6"/>
      <c r="S4" s="1"/>
    </row>
    <row r="5" spans="1:21" x14ac:dyDescent="0.3">
      <c r="C5" s="2" t="s">
        <v>7</v>
      </c>
      <c r="F5" s="2"/>
      <c r="I5" s="2" t="s">
        <v>8</v>
      </c>
      <c r="O5" s="7" t="s">
        <v>9</v>
      </c>
      <c r="Q5" s="7" t="s">
        <v>10</v>
      </c>
      <c r="S5" s="7">
        <f>SUMPRODUCT($B$7:$B$16/(1+($D$3+$R$3)/$F$3)^($A$7:$A$16*$F$3))</f>
        <v>959.34438964995809</v>
      </c>
      <c r="T5" s="12">
        <f>S5/C17-1</f>
        <v>-4.0655610350041949E-2</v>
      </c>
    </row>
    <row r="6" spans="1:21" x14ac:dyDescent="0.3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I6" s="7" t="s">
        <v>13</v>
      </c>
      <c r="J6" s="7" t="s">
        <v>14</v>
      </c>
      <c r="K6" s="7" t="s">
        <v>15</v>
      </c>
      <c r="L6" s="7" t="s">
        <v>18</v>
      </c>
      <c r="M6" s="7" t="s">
        <v>19</v>
      </c>
    </row>
    <row r="7" spans="1:21" x14ac:dyDescent="0.3">
      <c r="A7" s="7">
        <v>0.5</v>
      </c>
      <c r="B7" s="7">
        <f>B4*B3/2</f>
        <v>34.5</v>
      </c>
      <c r="C7" s="7">
        <f t="shared" ref="C7:C16" si="0">B7/(1+$D$3/$F$3)^(A7*$F$3)</f>
        <v>33.349444175930401</v>
      </c>
      <c r="D7" s="7">
        <f t="shared" ref="D7:D16" si="1">C7/$C$17</f>
        <v>3.3349444175930401E-2</v>
      </c>
      <c r="E7" s="7">
        <f t="shared" ref="E7:E16" si="2">A7*D7</f>
        <v>1.6674722087965201E-2</v>
      </c>
      <c r="F7" s="7">
        <f t="shared" ref="F7:F16" si="3">A7*(A7+1/$F$3)</f>
        <v>0.5</v>
      </c>
      <c r="G7" s="7">
        <f t="shared" ref="G7:G16" si="4">F7*D7</f>
        <v>1.6674722087965201E-2</v>
      </c>
      <c r="I7" s="7">
        <f t="shared" ref="I7:I16" si="5">B7*EXP(-$J$3*A7)</f>
        <v>33.349444175930401</v>
      </c>
      <c r="J7" s="7">
        <f t="shared" ref="J7:J16" si="6">I7/$I$17</f>
        <v>3.3349444175930394E-2</v>
      </c>
      <c r="K7" s="7">
        <f t="shared" ref="K7:K16" si="7">A7*J7</f>
        <v>1.6674722087965197E-2</v>
      </c>
      <c r="L7" s="7">
        <f t="shared" ref="L7:L16" si="8">A7^2</f>
        <v>0.25</v>
      </c>
      <c r="M7" s="7">
        <f t="shared" ref="M7:M16" si="9">L7*J7</f>
        <v>8.3373610439825985E-3</v>
      </c>
      <c r="R7" s="7" t="s">
        <v>20</v>
      </c>
      <c r="T7" s="12">
        <f>-E18*R3</f>
        <v>-4.1688020375358258E-2</v>
      </c>
      <c r="U7" s="11">
        <f>T7-T5</f>
        <v>-1.032410025316309E-3</v>
      </c>
    </row>
    <row r="8" spans="1:21" x14ac:dyDescent="0.3">
      <c r="A8" s="7">
        <v>1</v>
      </c>
      <c r="B8" s="7">
        <f t="shared" ref="B8:B15" si="10">B7</f>
        <v>34.5</v>
      </c>
      <c r="C8" s="7">
        <f t="shared" si="0"/>
        <v>32.237258749086905</v>
      </c>
      <c r="D8" s="7">
        <f t="shared" si="1"/>
        <v>3.2237258749086908E-2</v>
      </c>
      <c r="E8" s="7">
        <f t="shared" si="2"/>
        <v>3.2237258749086908E-2</v>
      </c>
      <c r="F8" s="7">
        <f t="shared" si="3"/>
        <v>1.5</v>
      </c>
      <c r="G8" s="7">
        <f t="shared" si="4"/>
        <v>4.8355888123630363E-2</v>
      </c>
      <c r="I8" s="7">
        <f t="shared" si="5"/>
        <v>32.237258749086905</v>
      </c>
      <c r="J8" s="7">
        <f t="shared" si="6"/>
        <v>3.2237258749086894E-2</v>
      </c>
      <c r="K8" s="7">
        <f t="shared" si="7"/>
        <v>3.2237258749086894E-2</v>
      </c>
      <c r="L8" s="7">
        <f t="shared" si="8"/>
        <v>1</v>
      </c>
      <c r="M8" s="7">
        <f t="shared" si="9"/>
        <v>3.2237258749086894E-2</v>
      </c>
      <c r="R8" s="7" t="s">
        <v>21</v>
      </c>
      <c r="T8" s="12">
        <f>-E18*R3+0.5*G18*R3^2</f>
        <v>-4.0636105061258927E-2</v>
      </c>
      <c r="U8" s="11">
        <f>T8-T5</f>
        <v>1.9505288783021324E-5</v>
      </c>
    </row>
    <row r="9" spans="1:21" x14ac:dyDescent="0.3">
      <c r="A9" s="7">
        <v>1.5</v>
      </c>
      <c r="B9" s="7">
        <f t="shared" si="10"/>
        <v>34.5</v>
      </c>
      <c r="C9" s="7">
        <f t="shared" si="0"/>
        <v>31.162164088049206</v>
      </c>
      <c r="D9" s="7">
        <f t="shared" si="1"/>
        <v>3.1162164088049206E-2</v>
      </c>
      <c r="E9" s="7">
        <f t="shared" si="2"/>
        <v>4.6743246132073812E-2</v>
      </c>
      <c r="F9" s="7">
        <f t="shared" si="3"/>
        <v>3</v>
      </c>
      <c r="G9" s="7">
        <f t="shared" si="4"/>
        <v>9.3486492264147625E-2</v>
      </c>
      <c r="I9" s="7">
        <f t="shared" si="5"/>
        <v>31.162164088049209</v>
      </c>
      <c r="J9" s="7">
        <f t="shared" si="6"/>
        <v>3.1162164088049202E-2</v>
      </c>
      <c r="K9" s="7">
        <f t="shared" si="7"/>
        <v>4.6743246132073805E-2</v>
      </c>
      <c r="L9" s="7">
        <f t="shared" si="8"/>
        <v>2.25</v>
      </c>
      <c r="M9" s="7">
        <f t="shared" si="9"/>
        <v>7.0114869198110705E-2</v>
      </c>
    </row>
    <row r="10" spans="1:21" x14ac:dyDescent="0.3">
      <c r="A10" s="7">
        <v>2</v>
      </c>
      <c r="B10" s="7">
        <f t="shared" si="10"/>
        <v>34.5</v>
      </c>
      <c r="C10" s="7">
        <f t="shared" si="0"/>
        <v>30.122923236393628</v>
      </c>
      <c r="D10" s="7">
        <f t="shared" si="1"/>
        <v>3.012292323639363E-2</v>
      </c>
      <c r="E10" s="7">
        <f t="shared" si="2"/>
        <v>6.0245846472787259E-2</v>
      </c>
      <c r="F10" s="7">
        <f t="shared" si="3"/>
        <v>5</v>
      </c>
      <c r="G10" s="7">
        <f t="shared" si="4"/>
        <v>0.15061461618196814</v>
      </c>
      <c r="I10" s="7">
        <f t="shared" si="5"/>
        <v>30.122923236393628</v>
      </c>
      <c r="J10" s="7">
        <f t="shared" si="6"/>
        <v>3.0122923236393623E-2</v>
      </c>
      <c r="K10" s="7">
        <f t="shared" si="7"/>
        <v>6.0245846472787246E-2</v>
      </c>
      <c r="L10" s="7">
        <f t="shared" si="8"/>
        <v>4</v>
      </c>
      <c r="M10" s="7">
        <f t="shared" si="9"/>
        <v>0.12049169294557449</v>
      </c>
    </row>
    <row r="11" spans="1:21" x14ac:dyDescent="0.3">
      <c r="A11" s="7">
        <v>2.5</v>
      </c>
      <c r="B11" s="7">
        <f t="shared" si="10"/>
        <v>34.5</v>
      </c>
      <c r="C11" s="7">
        <f t="shared" si="0"/>
        <v>29.11834048950568</v>
      </c>
      <c r="D11" s="7">
        <f t="shared" si="1"/>
        <v>2.9118340489505682E-2</v>
      </c>
      <c r="E11" s="7">
        <f t="shared" si="2"/>
        <v>7.279585122376421E-2</v>
      </c>
      <c r="F11" s="7">
        <f t="shared" si="3"/>
        <v>7.5</v>
      </c>
      <c r="G11" s="7">
        <f t="shared" si="4"/>
        <v>0.21838755367129262</v>
      </c>
      <c r="I11" s="7">
        <f t="shared" si="5"/>
        <v>29.118340489505684</v>
      </c>
      <c r="J11" s="7">
        <f t="shared" si="6"/>
        <v>2.9118340489505679E-2</v>
      </c>
      <c r="K11" s="7">
        <f t="shared" si="7"/>
        <v>7.2795851223764196E-2</v>
      </c>
      <c r="L11" s="7">
        <f t="shared" si="8"/>
        <v>6.25</v>
      </c>
      <c r="M11" s="7">
        <f t="shared" si="9"/>
        <v>0.18198962805941049</v>
      </c>
      <c r="O11" s="7" t="s">
        <v>22</v>
      </c>
      <c r="R11" s="10">
        <f>T11-S11</f>
        <v>9.6432202249400051E-3</v>
      </c>
      <c r="S11" s="16">
        <v>6.7836436406921288E-2</v>
      </c>
      <c r="T11" s="16">
        <v>7.7479656631861293E-2</v>
      </c>
    </row>
    <row r="12" spans="1:21" x14ac:dyDescent="0.3">
      <c r="A12" s="7">
        <v>3</v>
      </c>
      <c r="B12" s="7">
        <f t="shared" si="10"/>
        <v>34.5</v>
      </c>
      <c r="C12" s="7">
        <f t="shared" si="0"/>
        <v>28.147260018855178</v>
      </c>
      <c r="D12" s="7">
        <f t="shared" si="1"/>
        <v>2.8147260018855178E-2</v>
      </c>
      <c r="E12" s="7">
        <f t="shared" si="2"/>
        <v>8.4441780056565538E-2</v>
      </c>
      <c r="F12" s="7">
        <f t="shared" si="3"/>
        <v>10.5</v>
      </c>
      <c r="G12" s="7">
        <f t="shared" si="4"/>
        <v>0.29554623019797938</v>
      </c>
      <c r="I12" s="7">
        <f t="shared" si="5"/>
        <v>28.147260018855182</v>
      </c>
      <c r="J12" s="7">
        <f t="shared" si="6"/>
        <v>2.8147260018855175E-2</v>
      </c>
      <c r="K12" s="7">
        <f t="shared" si="7"/>
        <v>8.4441780056565524E-2</v>
      </c>
      <c r="L12" s="7">
        <f t="shared" si="8"/>
        <v>9</v>
      </c>
      <c r="M12" s="7">
        <f t="shared" si="9"/>
        <v>0.25332534016969654</v>
      </c>
    </row>
    <row r="13" spans="1:21" x14ac:dyDescent="0.3">
      <c r="A13" s="7">
        <v>3.5</v>
      </c>
      <c r="B13" s="7">
        <f t="shared" si="10"/>
        <v>34.5</v>
      </c>
      <c r="C13" s="7">
        <f t="shared" si="0"/>
        <v>27.20856454215097</v>
      </c>
      <c r="D13" s="7">
        <f t="shared" si="1"/>
        <v>2.7208564542150971E-2</v>
      </c>
      <c r="E13" s="7">
        <f t="shared" si="2"/>
        <v>9.5229975897528393E-2</v>
      </c>
      <c r="F13" s="7">
        <f t="shared" si="3"/>
        <v>14</v>
      </c>
      <c r="G13" s="7">
        <f t="shared" si="4"/>
        <v>0.38091990359011357</v>
      </c>
      <c r="I13" s="7">
        <f t="shared" si="5"/>
        <v>27.208564542150974</v>
      </c>
      <c r="J13" s="7">
        <f t="shared" si="6"/>
        <v>2.7208564542150968E-2</v>
      </c>
      <c r="K13" s="7">
        <f t="shared" si="7"/>
        <v>9.5229975897528379E-2</v>
      </c>
      <c r="L13" s="7">
        <f t="shared" si="8"/>
        <v>12.25</v>
      </c>
      <c r="M13" s="7">
        <f t="shared" si="9"/>
        <v>0.33330491564134934</v>
      </c>
      <c r="R13" s="7" t="s">
        <v>20</v>
      </c>
      <c r="T13" s="12">
        <f>-K17*R11</f>
        <v>-4.1587599448350297E-2</v>
      </c>
      <c r="U13" s="11">
        <f>T13-T5</f>
        <v>-9.319890983083487E-4</v>
      </c>
    </row>
    <row r="14" spans="1:21" x14ac:dyDescent="0.3">
      <c r="A14" s="7">
        <v>4</v>
      </c>
      <c r="B14" s="7">
        <f t="shared" si="10"/>
        <v>34.5</v>
      </c>
      <c r="C14" s="7">
        <f t="shared" si="0"/>
        <v>26.301174037845307</v>
      </c>
      <c r="D14" s="7">
        <f t="shared" si="1"/>
        <v>2.6301174037845307E-2</v>
      </c>
      <c r="E14" s="7">
        <f t="shared" si="2"/>
        <v>0.10520469615138123</v>
      </c>
      <c r="F14" s="7">
        <f t="shared" si="3"/>
        <v>18</v>
      </c>
      <c r="G14" s="7">
        <f t="shared" si="4"/>
        <v>0.47342113268121555</v>
      </c>
      <c r="I14" s="7">
        <f t="shared" si="5"/>
        <v>26.30117403784531</v>
      </c>
      <c r="J14" s="7">
        <f t="shared" si="6"/>
        <v>2.6301174037845303E-2</v>
      </c>
      <c r="K14" s="7">
        <f t="shared" si="7"/>
        <v>0.10520469615138121</v>
      </c>
      <c r="L14" s="7">
        <f t="shared" si="8"/>
        <v>16</v>
      </c>
      <c r="M14" s="7">
        <f t="shared" si="9"/>
        <v>0.42081878460552485</v>
      </c>
      <c r="R14" s="7" t="s">
        <v>21</v>
      </c>
      <c r="T14" s="12">
        <f>-K17*R11+0.5*M17*R11^2</f>
        <v>-4.0641005475097476E-2</v>
      </c>
      <c r="U14" s="11">
        <f>T14-T5</f>
        <v>1.4604874944472435E-5</v>
      </c>
    </row>
    <row r="15" spans="1:21" x14ac:dyDescent="0.3">
      <c r="A15" s="7">
        <v>4.5</v>
      </c>
      <c r="B15" s="7">
        <f t="shared" si="10"/>
        <v>34.5</v>
      </c>
      <c r="C15" s="7">
        <f t="shared" si="0"/>
        <v>25.424044502508757</v>
      </c>
      <c r="D15" s="7">
        <f t="shared" si="1"/>
        <v>2.5424044502508757E-2</v>
      </c>
      <c r="E15" s="7">
        <f t="shared" si="2"/>
        <v>0.11440820026128941</v>
      </c>
      <c r="F15" s="7">
        <f t="shared" si="3"/>
        <v>22.5</v>
      </c>
      <c r="G15" s="7">
        <f t="shared" si="4"/>
        <v>0.57204100130644697</v>
      </c>
      <c r="I15" s="7">
        <f t="shared" si="5"/>
        <v>25.424044502508757</v>
      </c>
      <c r="J15" s="7">
        <f t="shared" si="6"/>
        <v>2.542404450250875E-2</v>
      </c>
      <c r="K15" s="7">
        <f t="shared" si="7"/>
        <v>0.11440820026128937</v>
      </c>
      <c r="L15" s="7">
        <f t="shared" si="8"/>
        <v>20.25</v>
      </c>
      <c r="M15" s="7">
        <f t="shared" si="9"/>
        <v>0.51483690117580216</v>
      </c>
    </row>
    <row r="16" spans="1:21" x14ac:dyDescent="0.3">
      <c r="A16" s="7">
        <v>5</v>
      </c>
      <c r="B16" s="7">
        <f>B15+B4</f>
        <v>1034.5</v>
      </c>
      <c r="C16" s="7">
        <f t="shared" si="0"/>
        <v>736.92882615967403</v>
      </c>
      <c r="D16" s="7">
        <f t="shared" si="1"/>
        <v>0.73692882615967403</v>
      </c>
      <c r="E16" s="7">
        <f t="shared" si="2"/>
        <v>3.6846441307983699</v>
      </c>
      <c r="F16" s="7">
        <f t="shared" si="3"/>
        <v>27.5</v>
      </c>
      <c r="G16" s="7">
        <f t="shared" si="4"/>
        <v>20.265542719391036</v>
      </c>
      <c r="I16" s="7">
        <f t="shared" si="5"/>
        <v>736.92882615967426</v>
      </c>
      <c r="J16" s="7">
        <f t="shared" si="6"/>
        <v>0.73692882615967414</v>
      </c>
      <c r="K16" s="7">
        <f t="shared" si="7"/>
        <v>3.6846441307983708</v>
      </c>
      <c r="L16" s="7">
        <f t="shared" si="8"/>
        <v>25</v>
      </c>
      <c r="M16" s="7">
        <f t="shared" si="9"/>
        <v>18.423220653991855</v>
      </c>
    </row>
    <row r="17" spans="1:20" x14ac:dyDescent="0.3">
      <c r="C17" s="7">
        <f>SUM(C7:C16)</f>
        <v>1000</v>
      </c>
      <c r="D17" s="7" t="s">
        <v>23</v>
      </c>
      <c r="E17" s="4">
        <f>SUM(E7:E16)</f>
        <v>4.3126257078308115</v>
      </c>
      <c r="F17" s="7" t="s">
        <v>24</v>
      </c>
      <c r="G17" s="4">
        <f>SUM(G7:G16)</f>
        <v>22.514990259495796</v>
      </c>
      <c r="I17" s="7">
        <f>SUM(I7:I16)</f>
        <v>1000.0000000000002</v>
      </c>
      <c r="J17" s="9" t="s">
        <v>38</v>
      </c>
      <c r="K17" s="4">
        <f>SUM(K7:K16)</f>
        <v>4.3126257078308123</v>
      </c>
      <c r="L17" s="9" t="s">
        <v>39</v>
      </c>
      <c r="M17" s="4">
        <f>SUM(M7:M16)</f>
        <v>20.358677405580394</v>
      </c>
    </row>
    <row r="18" spans="1:20" x14ac:dyDescent="0.3">
      <c r="D18" s="7" t="s">
        <v>25</v>
      </c>
      <c r="E18" s="4">
        <f>E17/(1+$D$3/$F$3)</f>
        <v>4.1688020375358255</v>
      </c>
      <c r="F18" s="7" t="s">
        <v>26</v>
      </c>
      <c r="G18" s="4">
        <f>G17/(1+D3/F3)^2</f>
        <v>21.038306281986586</v>
      </c>
      <c r="J18" s="9" t="s">
        <v>40</v>
      </c>
      <c r="K18" s="4">
        <f>K17</f>
        <v>4.3126257078308123</v>
      </c>
      <c r="L18" s="9" t="s">
        <v>41</v>
      </c>
      <c r="M18" s="4">
        <f>M17</f>
        <v>20.358677405580394</v>
      </c>
      <c r="Q18" s="7" t="s">
        <v>27</v>
      </c>
      <c r="R18" s="7" t="s">
        <v>28</v>
      </c>
      <c r="S18" s="7" t="s">
        <v>29</v>
      </c>
      <c r="T18" s="7" t="s">
        <v>30</v>
      </c>
    </row>
    <row r="19" spans="1:20" x14ac:dyDescent="0.3">
      <c r="Q19" s="1">
        <v>0.05</v>
      </c>
      <c r="R19" s="10">
        <f>2*LN(1+Q19/2)</f>
        <v>4.9385225180742828E-2</v>
      </c>
      <c r="T19" s="10"/>
    </row>
    <row r="20" spans="1:20" x14ac:dyDescent="0.3">
      <c r="Q20" s="1">
        <v>0.06</v>
      </c>
      <c r="R20" s="10">
        <f>2*LN(1+Q20/2)</f>
        <v>5.9117604483088858E-2</v>
      </c>
      <c r="S20" s="1">
        <f t="shared" ref="S20:T22" si="11">Q20-Q19</f>
        <v>9.999999999999995E-3</v>
      </c>
      <c r="T20" s="10">
        <f t="shared" si="11"/>
        <v>9.7323793023460295E-3</v>
      </c>
    </row>
    <row r="21" spans="1:20" x14ac:dyDescent="0.3">
      <c r="A21" s="5" t="s">
        <v>31</v>
      </c>
      <c r="H21" s="7"/>
      <c r="J21" s="6"/>
      <c r="O21" s="6"/>
      <c r="P21" s="6"/>
      <c r="Q21" s="1">
        <v>7.0000000000000007E-2</v>
      </c>
      <c r="R21" s="10">
        <f>2*LN(1+Q21/2)</f>
        <v>6.8802853434664635E-2</v>
      </c>
      <c r="S21" s="1">
        <f t="shared" si="11"/>
        <v>1.0000000000000009E-2</v>
      </c>
      <c r="T21" s="10">
        <f t="shared" si="11"/>
        <v>9.685248951575777E-3</v>
      </c>
    </row>
    <row r="22" spans="1:20" x14ac:dyDescent="0.3">
      <c r="A22" s="7" t="s">
        <v>1</v>
      </c>
      <c r="B22" s="6">
        <v>6.3E-2</v>
      </c>
      <c r="C22" s="7" t="s">
        <v>2</v>
      </c>
      <c r="D22" s="6">
        <v>0.06</v>
      </c>
      <c r="E22" s="7" t="s">
        <v>3</v>
      </c>
      <c r="F22" s="7">
        <v>2</v>
      </c>
      <c r="H22" s="7"/>
      <c r="J22" s="6"/>
      <c r="O22" s="6"/>
      <c r="P22" s="6"/>
      <c r="Q22" s="1">
        <v>0.08</v>
      </c>
      <c r="R22" s="10">
        <f>2*LN(1+Q22/2)</f>
        <v>7.8441426306562659E-2</v>
      </c>
      <c r="S22" s="1">
        <f t="shared" si="11"/>
        <v>9.999999999999995E-3</v>
      </c>
      <c r="T22" s="10">
        <f t="shared" si="11"/>
        <v>9.638572871898024E-3</v>
      </c>
    </row>
    <row r="23" spans="1:20" x14ac:dyDescent="0.3">
      <c r="A23" s="7" t="s">
        <v>6</v>
      </c>
      <c r="B23" s="7">
        <v>1000</v>
      </c>
      <c r="C23" s="7" t="s">
        <v>4</v>
      </c>
      <c r="D23" s="3">
        <f>F22*LN(1+D22/F22)</f>
        <v>5.9117604483088858E-2</v>
      </c>
      <c r="E23" s="7" t="s">
        <v>32</v>
      </c>
      <c r="F23" s="7">
        <f>C32</f>
        <v>1008.1257871658174</v>
      </c>
      <c r="H23" s="7"/>
      <c r="J23" s="6"/>
      <c r="Q23" s="6"/>
      <c r="R23" s="6"/>
      <c r="S23" s="6"/>
    </row>
    <row r="24" spans="1:20" x14ac:dyDescent="0.3">
      <c r="C24" s="2" t="s">
        <v>7</v>
      </c>
      <c r="H24" s="7"/>
      <c r="I24" s="2" t="s">
        <v>8</v>
      </c>
      <c r="Q24" s="6"/>
      <c r="R24" s="6"/>
      <c r="S24" s="6"/>
    </row>
    <row r="25" spans="1:20" x14ac:dyDescent="0.3">
      <c r="A25" s="7" t="s">
        <v>11</v>
      </c>
      <c r="B25" s="7" t="s">
        <v>12</v>
      </c>
      <c r="C25" s="7" t="s">
        <v>13</v>
      </c>
      <c r="D25" s="7" t="s">
        <v>14</v>
      </c>
      <c r="E25" s="7" t="s">
        <v>15</v>
      </c>
      <c r="F25" s="7" t="s">
        <v>16</v>
      </c>
      <c r="G25" s="7" t="s">
        <v>17</v>
      </c>
      <c r="H25" s="7"/>
      <c r="I25" s="7" t="s">
        <v>13</v>
      </c>
      <c r="J25" s="7" t="s">
        <v>14</v>
      </c>
      <c r="K25" s="7" t="s">
        <v>15</v>
      </c>
      <c r="L25" s="7" t="s">
        <v>18</v>
      </c>
      <c r="M25" s="7" t="s">
        <v>19</v>
      </c>
      <c r="S25" s="6"/>
    </row>
    <row r="26" spans="1:20" x14ac:dyDescent="0.3">
      <c r="A26" s="7">
        <v>0.5</v>
      </c>
      <c r="B26" s="7">
        <f>B23*B22/2</f>
        <v>31.5</v>
      </c>
      <c r="C26" s="7">
        <f t="shared" ref="C26:C31" si="12">B26/(1+$D$22/$F$22)^(A26*$F$22)</f>
        <v>30.582524271844658</v>
      </c>
      <c r="D26" s="7">
        <f t="shared" ref="D26:D31" si="13">C26/$C$32</f>
        <v>3.0336020228013884E-2</v>
      </c>
      <c r="E26" s="7">
        <f t="shared" ref="E26:E31" si="14">A26*D26</f>
        <v>1.5168010114006942E-2</v>
      </c>
      <c r="F26" s="7">
        <f t="shared" ref="F26:F31" si="15">A26*(A26+1/$F$22)</f>
        <v>0.5</v>
      </c>
      <c r="G26" s="7">
        <f t="shared" ref="G26:G31" si="16">F26*D26</f>
        <v>1.5168010114006942E-2</v>
      </c>
      <c r="H26" s="7"/>
      <c r="I26" s="7">
        <f t="shared" ref="I26:I31" si="17">B26*EXP(-$D$23*A26)</f>
        <v>30.582524271844662</v>
      </c>
      <c r="J26" s="7">
        <f t="shared" ref="J26:J31" si="18">I26/$I$32</f>
        <v>3.0336020228013894E-2</v>
      </c>
      <c r="K26" s="7">
        <f t="shared" ref="K26:K31" si="19">A26*J26</f>
        <v>1.5168010114006947E-2</v>
      </c>
      <c r="L26" s="7">
        <f t="shared" ref="L26:L31" si="20">A26^2</f>
        <v>0.25</v>
      </c>
      <c r="M26" s="7">
        <f t="shared" ref="M26:M31" si="21">L26*J26</f>
        <v>7.5840050570034736E-3</v>
      </c>
    </row>
    <row r="27" spans="1:20" x14ac:dyDescent="0.3">
      <c r="A27" s="7">
        <v>1</v>
      </c>
      <c r="B27" s="7">
        <f>B26</f>
        <v>31.5</v>
      </c>
      <c r="C27" s="7">
        <f t="shared" si="12"/>
        <v>29.691771137713264</v>
      </c>
      <c r="D27" s="7">
        <f t="shared" si="13"/>
        <v>2.9452446823314455E-2</v>
      </c>
      <c r="E27" s="7">
        <f t="shared" si="14"/>
        <v>2.9452446823314455E-2</v>
      </c>
      <c r="F27" s="7">
        <f t="shared" si="15"/>
        <v>1.5</v>
      </c>
      <c r="G27" s="7">
        <f t="shared" si="16"/>
        <v>4.4178670234971684E-2</v>
      </c>
      <c r="H27" s="7"/>
      <c r="I27" s="7">
        <f t="shared" si="17"/>
        <v>29.69177113771326</v>
      </c>
      <c r="J27" s="7">
        <f t="shared" si="18"/>
        <v>2.9452446823314458E-2</v>
      </c>
      <c r="K27" s="7">
        <f t="shared" si="19"/>
        <v>2.9452446823314458E-2</v>
      </c>
      <c r="L27" s="7">
        <f t="shared" si="20"/>
        <v>1</v>
      </c>
      <c r="M27" s="7">
        <f t="shared" si="21"/>
        <v>2.9452446823314458E-2</v>
      </c>
    </row>
    <row r="28" spans="1:20" x14ac:dyDescent="0.3">
      <c r="A28" s="7">
        <v>1.5</v>
      </c>
      <c r="B28" s="7">
        <f>B27</f>
        <v>31.5</v>
      </c>
      <c r="C28" s="7">
        <f t="shared" si="12"/>
        <v>28.826962269624527</v>
      </c>
      <c r="D28" s="7">
        <f t="shared" si="13"/>
        <v>2.8594608566324713E-2</v>
      </c>
      <c r="E28" s="7">
        <f t="shared" si="14"/>
        <v>4.2891912849487068E-2</v>
      </c>
      <c r="F28" s="7">
        <f t="shared" si="15"/>
        <v>3</v>
      </c>
      <c r="G28" s="7">
        <f t="shared" si="16"/>
        <v>8.5783825698974137E-2</v>
      </c>
      <c r="H28" s="7"/>
      <c r="I28" s="7">
        <f t="shared" si="17"/>
        <v>28.826962269624524</v>
      </c>
      <c r="J28" s="7">
        <f t="shared" si="18"/>
        <v>2.8594608566324717E-2</v>
      </c>
      <c r="K28" s="7">
        <f t="shared" si="19"/>
        <v>4.2891912849487075E-2</v>
      </c>
      <c r="L28" s="7">
        <f t="shared" si="20"/>
        <v>2.25</v>
      </c>
      <c r="M28" s="7">
        <f t="shared" si="21"/>
        <v>6.4337869274230616E-2</v>
      </c>
    </row>
    <row r="29" spans="1:20" x14ac:dyDescent="0.3">
      <c r="A29" s="7">
        <v>2</v>
      </c>
      <c r="B29" s="7">
        <f>B28</f>
        <v>31.5</v>
      </c>
      <c r="C29" s="7">
        <f t="shared" si="12"/>
        <v>27.987342009344204</v>
      </c>
      <c r="D29" s="7">
        <f t="shared" si="13"/>
        <v>2.7761755889635645E-2</v>
      </c>
      <c r="E29" s="7">
        <f t="shared" si="14"/>
        <v>5.5523511779271291E-2</v>
      </c>
      <c r="F29" s="7">
        <f t="shared" si="15"/>
        <v>5</v>
      </c>
      <c r="G29" s="7">
        <f t="shared" si="16"/>
        <v>0.13880877944817824</v>
      </c>
      <c r="H29" s="7"/>
      <c r="I29" s="7">
        <f t="shared" si="17"/>
        <v>27.987342009344196</v>
      </c>
      <c r="J29" s="7">
        <f t="shared" si="18"/>
        <v>2.7761755889635645E-2</v>
      </c>
      <c r="K29" s="7">
        <f t="shared" si="19"/>
        <v>5.5523511779271291E-2</v>
      </c>
      <c r="L29" s="7">
        <f t="shared" si="20"/>
        <v>4</v>
      </c>
      <c r="M29" s="7">
        <f t="shared" si="21"/>
        <v>0.11104702355854258</v>
      </c>
    </row>
    <row r="30" spans="1:20" x14ac:dyDescent="0.3">
      <c r="A30" s="7">
        <v>2.5</v>
      </c>
      <c r="B30" s="7">
        <f>B29</f>
        <v>31.5</v>
      </c>
      <c r="C30" s="7">
        <f t="shared" si="12"/>
        <v>27.172176708101169</v>
      </c>
      <c r="D30" s="7">
        <f t="shared" si="13"/>
        <v>2.6953161057898686E-2</v>
      </c>
      <c r="E30" s="7">
        <f t="shared" si="14"/>
        <v>6.7382902644746709E-2</v>
      </c>
      <c r="F30" s="7">
        <f t="shared" si="15"/>
        <v>7.5</v>
      </c>
      <c r="G30" s="7">
        <f t="shared" si="16"/>
        <v>0.20214870793424014</v>
      </c>
      <c r="H30" s="7"/>
      <c r="I30" s="7">
        <f t="shared" si="17"/>
        <v>27.172176708101162</v>
      </c>
      <c r="J30" s="7">
        <f t="shared" si="18"/>
        <v>2.6953161057898686E-2</v>
      </c>
      <c r="K30" s="7">
        <f t="shared" si="19"/>
        <v>6.7382902644746709E-2</v>
      </c>
      <c r="L30" s="7">
        <f t="shared" si="20"/>
        <v>6.25</v>
      </c>
      <c r="M30" s="7">
        <f t="shared" si="21"/>
        <v>0.16845725661186678</v>
      </c>
    </row>
    <row r="31" spans="1:20" x14ac:dyDescent="0.3">
      <c r="A31" s="7">
        <v>3</v>
      </c>
      <c r="B31" s="7">
        <f>B30+B23</f>
        <v>1031.5</v>
      </c>
      <c r="C31" s="7">
        <f t="shared" si="12"/>
        <v>863.86501076918955</v>
      </c>
      <c r="D31" s="7">
        <f t="shared" si="13"/>
        <v>0.8569020074348126</v>
      </c>
      <c r="E31" s="7">
        <f t="shared" si="14"/>
        <v>2.5707060223044378</v>
      </c>
      <c r="F31" s="7">
        <f t="shared" si="15"/>
        <v>10.5</v>
      </c>
      <c r="G31" s="7">
        <f t="shared" si="16"/>
        <v>8.9974710780655318</v>
      </c>
      <c r="H31" s="7"/>
      <c r="I31" s="7">
        <f t="shared" si="17"/>
        <v>863.86501076918933</v>
      </c>
      <c r="J31" s="7">
        <f t="shared" si="18"/>
        <v>0.85690200743481248</v>
      </c>
      <c r="K31" s="7">
        <f t="shared" si="19"/>
        <v>2.5707060223044373</v>
      </c>
      <c r="L31" s="7">
        <f t="shared" si="20"/>
        <v>9</v>
      </c>
      <c r="M31" s="7">
        <f t="shared" si="21"/>
        <v>7.7121180669133125</v>
      </c>
    </row>
    <row r="32" spans="1:20" x14ac:dyDescent="0.3">
      <c r="C32" s="7">
        <f>SUM(C26:C31)</f>
        <v>1008.1257871658174</v>
      </c>
      <c r="D32" s="7" t="s">
        <v>23</v>
      </c>
      <c r="E32" s="4">
        <f>SUM(E26:E31)</f>
        <v>2.7811248065152641</v>
      </c>
      <c r="F32" s="7" t="s">
        <v>24</v>
      </c>
      <c r="G32" s="4">
        <f>SUM(G26:G31)</f>
        <v>9.4835590714959022</v>
      </c>
      <c r="H32" s="7"/>
      <c r="I32" s="7">
        <f>SUM(I26:I31)</f>
        <v>1008.1257871658172</v>
      </c>
      <c r="J32" s="9" t="s">
        <v>38</v>
      </c>
      <c r="K32" s="4">
        <f>SUM(K26:K31)</f>
        <v>2.7811248065152636</v>
      </c>
      <c r="L32" s="9" t="s">
        <v>39</v>
      </c>
      <c r="M32" s="4">
        <f>SUM(M26:M31)</f>
        <v>8.0929966682382712</v>
      </c>
    </row>
    <row r="33" spans="1:13" x14ac:dyDescent="0.3">
      <c r="D33" s="7" t="s">
        <v>25</v>
      </c>
      <c r="E33" s="4">
        <f>E32/(1+D22/F22)</f>
        <v>2.7001211713740427</v>
      </c>
      <c r="F33" s="7" t="s">
        <v>26</v>
      </c>
      <c r="G33" s="4">
        <f>G32/(1+D22/F22)^2</f>
        <v>8.9391639848203432</v>
      </c>
      <c r="H33" s="7"/>
      <c r="J33" s="9" t="s">
        <v>40</v>
      </c>
      <c r="K33" s="4">
        <f>K32</f>
        <v>2.7811248065152636</v>
      </c>
      <c r="L33" s="9" t="s">
        <v>41</v>
      </c>
      <c r="M33" s="4">
        <f>M32</f>
        <v>8.0929966682382712</v>
      </c>
    </row>
    <row r="34" spans="1:13" x14ac:dyDescent="0.3">
      <c r="A34" s="7"/>
      <c r="B34" s="7"/>
      <c r="C34" s="7"/>
      <c r="D34" s="7"/>
      <c r="E34" s="7"/>
      <c r="F34" s="7"/>
      <c r="G34" s="8"/>
      <c r="H34" s="7"/>
    </row>
    <row r="35" spans="1:13" x14ac:dyDescent="0.3">
      <c r="A35" s="7"/>
      <c r="B35" s="7"/>
      <c r="C35" s="7"/>
      <c r="D35" s="7"/>
      <c r="E35" s="7"/>
      <c r="F35" s="7"/>
      <c r="G35" s="7"/>
      <c r="H35" s="7"/>
    </row>
    <row r="36" spans="1:13" x14ac:dyDescent="0.3">
      <c r="A36" s="5" t="s">
        <v>33</v>
      </c>
      <c r="H36" s="7"/>
    </row>
    <row r="37" spans="1:13" x14ac:dyDescent="0.3">
      <c r="A37" s="7" t="s">
        <v>1</v>
      </c>
      <c r="B37" s="6">
        <v>0.08</v>
      </c>
      <c r="C37" s="7" t="s">
        <v>2</v>
      </c>
      <c r="D37" s="6">
        <v>6.5000000000000002E-2</v>
      </c>
      <c r="E37" s="7" t="s">
        <v>3</v>
      </c>
      <c r="F37" s="7">
        <v>2</v>
      </c>
      <c r="H37" s="7"/>
    </row>
    <row r="38" spans="1:13" x14ac:dyDescent="0.3">
      <c r="A38" s="7" t="s">
        <v>6</v>
      </c>
      <c r="B38" s="7">
        <v>1000</v>
      </c>
      <c r="C38" s="7" t="s">
        <v>4</v>
      </c>
      <c r="D38" s="3">
        <f>F37*LN(1+D37/F37)</f>
        <v>6.3966091706101486E-2</v>
      </c>
      <c r="E38" s="7" t="s">
        <v>32</v>
      </c>
      <c r="F38" s="7">
        <f>C61</f>
        <v>1109.0450961020069</v>
      </c>
    </row>
    <row r="39" spans="1:13" x14ac:dyDescent="0.3">
      <c r="C39" s="2" t="s">
        <v>7</v>
      </c>
      <c r="I39" t="s">
        <v>8</v>
      </c>
    </row>
    <row r="40" spans="1:13" x14ac:dyDescent="0.3">
      <c r="A40" s="7" t="s">
        <v>11</v>
      </c>
      <c r="B40" s="7" t="s">
        <v>12</v>
      </c>
      <c r="C40" s="7" t="s">
        <v>13</v>
      </c>
      <c r="D40" s="7" t="s">
        <v>14</v>
      </c>
      <c r="E40" s="7" t="s">
        <v>15</v>
      </c>
      <c r="F40" s="7" t="s">
        <v>16</v>
      </c>
      <c r="G40" s="7" t="s">
        <v>17</v>
      </c>
      <c r="I40" t="s">
        <v>13</v>
      </c>
      <c r="J40" t="s">
        <v>14</v>
      </c>
      <c r="K40" t="s">
        <v>15</v>
      </c>
      <c r="L40" t="s">
        <v>18</v>
      </c>
      <c r="M40" t="s">
        <v>19</v>
      </c>
    </row>
    <row r="41" spans="1:13" x14ac:dyDescent="0.3">
      <c r="A41" s="7">
        <v>0.5</v>
      </c>
      <c r="B41" s="7">
        <f>B38*B37/$F$37</f>
        <v>40</v>
      </c>
      <c r="C41" s="7">
        <f t="shared" ref="C41:C60" si="22">B41/(1+$D$37/$F$37)^(A41*$F$37)</f>
        <v>38.7409200968523</v>
      </c>
      <c r="D41" s="7">
        <f t="shared" ref="D41:D60" si="23">C41/$C$61</f>
        <v>3.4931780712088391E-2</v>
      </c>
      <c r="E41" s="7">
        <f t="shared" ref="E41:E60" si="24">A41*D41</f>
        <v>1.7465890356044195E-2</v>
      </c>
      <c r="F41" s="7">
        <f t="shared" ref="F41:F60" si="25">A41*(A41+1/$F$37)</f>
        <v>0.5</v>
      </c>
      <c r="G41" s="7">
        <f t="shared" ref="G41:G60" si="26">F41*D41</f>
        <v>1.7465890356044195E-2</v>
      </c>
      <c r="I41">
        <f t="shared" ref="I41:I60" si="27">B41*EXP(-$D$38*A41)</f>
        <v>38.7409200968523</v>
      </c>
      <c r="J41">
        <f t="shared" ref="J41:J60" si="28">I41/$I$61</f>
        <v>3.4931780712088377E-2</v>
      </c>
      <c r="K41">
        <f t="shared" ref="K41:K60" si="29">A41*J41</f>
        <v>1.7465890356044188E-2</v>
      </c>
      <c r="L41">
        <f t="shared" ref="L41:L60" si="30">A41^2</f>
        <v>0.25</v>
      </c>
      <c r="M41">
        <f t="shared" ref="M41:M60" si="31">L41*J41</f>
        <v>8.7329451780220942E-3</v>
      </c>
    </row>
    <row r="42" spans="1:13" x14ac:dyDescent="0.3">
      <c r="A42" s="7">
        <v>1</v>
      </c>
      <c r="B42" s="7">
        <f t="shared" ref="B42:B59" si="32">B41</f>
        <v>40</v>
      </c>
      <c r="C42" s="7">
        <f t="shared" si="22"/>
        <v>37.521472248767367</v>
      </c>
      <c r="D42" s="7">
        <f t="shared" si="23"/>
        <v>3.3832233135194574E-2</v>
      </c>
      <c r="E42" s="7">
        <f t="shared" si="24"/>
        <v>3.3832233135194574E-2</v>
      </c>
      <c r="F42" s="7">
        <f t="shared" si="25"/>
        <v>1.5</v>
      </c>
      <c r="G42" s="7">
        <f t="shared" si="26"/>
        <v>5.0748349702791865E-2</v>
      </c>
      <c r="I42">
        <f t="shared" si="27"/>
        <v>37.52147224876736</v>
      </c>
      <c r="J42">
        <f t="shared" si="28"/>
        <v>3.3832233135194553E-2</v>
      </c>
      <c r="K42">
        <f t="shared" si="29"/>
        <v>3.3832233135194553E-2</v>
      </c>
      <c r="L42">
        <f t="shared" si="30"/>
        <v>1</v>
      </c>
      <c r="M42">
        <f t="shared" si="31"/>
        <v>3.3832233135194553E-2</v>
      </c>
    </row>
    <row r="43" spans="1:13" x14ac:dyDescent="0.3">
      <c r="A43" s="7">
        <v>1.5</v>
      </c>
      <c r="B43" s="7">
        <f t="shared" si="32"/>
        <v>40</v>
      </c>
      <c r="C43" s="7">
        <f t="shared" si="22"/>
        <v>36.340408957643938</v>
      </c>
      <c r="D43" s="7">
        <f t="shared" si="23"/>
        <v>3.2767296014716292E-2</v>
      </c>
      <c r="E43" s="7">
        <f t="shared" si="24"/>
        <v>4.9150944022074441E-2</v>
      </c>
      <c r="F43" s="7">
        <f t="shared" si="25"/>
        <v>3</v>
      </c>
      <c r="G43" s="7">
        <f t="shared" si="26"/>
        <v>9.8301888044148883E-2</v>
      </c>
      <c r="I43">
        <f t="shared" si="27"/>
        <v>36.340408957643938</v>
      </c>
      <c r="J43">
        <f t="shared" si="28"/>
        <v>3.2767296014716278E-2</v>
      </c>
      <c r="K43">
        <f t="shared" si="29"/>
        <v>4.9150944022074414E-2</v>
      </c>
      <c r="L43">
        <f t="shared" si="30"/>
        <v>2.25</v>
      </c>
      <c r="M43">
        <f t="shared" si="31"/>
        <v>7.3726416033111628E-2</v>
      </c>
    </row>
    <row r="44" spans="1:13" x14ac:dyDescent="0.3">
      <c r="A44" s="7">
        <v>2</v>
      </c>
      <c r="B44" s="7">
        <f t="shared" si="32"/>
        <v>40</v>
      </c>
      <c r="C44" s="7">
        <f t="shared" si="22"/>
        <v>35.196521992875482</v>
      </c>
      <c r="D44" s="7">
        <f t="shared" si="23"/>
        <v>3.1735879917400761E-2</v>
      </c>
      <c r="E44" s="7">
        <f t="shared" si="24"/>
        <v>6.3471759834801522E-2</v>
      </c>
      <c r="F44" s="7">
        <f t="shared" si="25"/>
        <v>5</v>
      </c>
      <c r="G44" s="7">
        <f t="shared" si="26"/>
        <v>0.15867939958700381</v>
      </c>
      <c r="I44">
        <f t="shared" si="27"/>
        <v>35.196521992875482</v>
      </c>
      <c r="J44">
        <f t="shared" si="28"/>
        <v>3.1735879917400754E-2</v>
      </c>
      <c r="K44">
        <f t="shared" si="29"/>
        <v>6.3471759834801508E-2</v>
      </c>
      <c r="L44">
        <f t="shared" si="30"/>
        <v>4</v>
      </c>
      <c r="M44">
        <f t="shared" si="31"/>
        <v>0.12694351966960302</v>
      </c>
    </row>
    <row r="45" spans="1:13" x14ac:dyDescent="0.3">
      <c r="A45" s="7">
        <v>2.5</v>
      </c>
      <c r="B45" s="7">
        <f t="shared" si="32"/>
        <v>40</v>
      </c>
      <c r="C45" s="7">
        <f t="shared" si="22"/>
        <v>34.088641155327345</v>
      </c>
      <c r="D45" s="7">
        <f t="shared" si="23"/>
        <v>3.0736929702083065E-2</v>
      </c>
      <c r="E45" s="7">
        <f t="shared" si="24"/>
        <v>7.6842324255207664E-2</v>
      </c>
      <c r="F45" s="7">
        <f t="shared" si="25"/>
        <v>7.5</v>
      </c>
      <c r="G45" s="7">
        <f t="shared" si="26"/>
        <v>0.23052697276562298</v>
      </c>
      <c r="I45">
        <f t="shared" si="27"/>
        <v>34.088641155327352</v>
      </c>
      <c r="J45">
        <f t="shared" si="28"/>
        <v>3.0736929702083058E-2</v>
      </c>
      <c r="K45">
        <f t="shared" si="29"/>
        <v>7.684232425520765E-2</v>
      </c>
      <c r="L45">
        <f t="shared" si="30"/>
        <v>6.25</v>
      </c>
      <c r="M45">
        <f t="shared" si="31"/>
        <v>0.19210581063801913</v>
      </c>
    </row>
    <row r="46" spans="1:13" x14ac:dyDescent="0.3">
      <c r="A46" s="7">
        <v>3</v>
      </c>
      <c r="B46" s="7">
        <f t="shared" si="32"/>
        <v>40</v>
      </c>
      <c r="C46" s="7">
        <f t="shared" si="22"/>
        <v>33.015633080220191</v>
      </c>
      <c r="D46" s="7">
        <f t="shared" si="23"/>
        <v>2.9769423440274157E-2</v>
      </c>
      <c r="E46" s="7">
        <f t="shared" si="24"/>
        <v>8.9308270320822475E-2</v>
      </c>
      <c r="F46" s="7">
        <f t="shared" si="25"/>
        <v>10.5</v>
      </c>
      <c r="G46" s="7">
        <f t="shared" si="26"/>
        <v>0.31257894612287868</v>
      </c>
      <c r="I46">
        <f t="shared" si="27"/>
        <v>33.015633080220191</v>
      </c>
      <c r="J46">
        <f t="shared" si="28"/>
        <v>2.9769423440274147E-2</v>
      </c>
      <c r="K46">
        <f t="shared" si="29"/>
        <v>8.9308270320822447E-2</v>
      </c>
      <c r="L46">
        <f t="shared" si="30"/>
        <v>9</v>
      </c>
      <c r="M46">
        <f t="shared" si="31"/>
        <v>0.26792481096246734</v>
      </c>
    </row>
    <row r="47" spans="1:13" x14ac:dyDescent="0.3">
      <c r="A47" s="7">
        <v>3.5</v>
      </c>
      <c r="B47" s="7">
        <f t="shared" si="32"/>
        <v>40</v>
      </c>
      <c r="C47" s="7">
        <f t="shared" si="22"/>
        <v>31.9764000776951</v>
      </c>
      <c r="D47" s="7">
        <f t="shared" si="23"/>
        <v>2.8832371370725578E-2</v>
      </c>
      <c r="E47" s="7">
        <f t="shared" si="24"/>
        <v>0.10091329979753952</v>
      </c>
      <c r="F47" s="7">
        <f t="shared" si="25"/>
        <v>14</v>
      </c>
      <c r="G47" s="7">
        <f t="shared" si="26"/>
        <v>0.40365319919015807</v>
      </c>
      <c r="I47">
        <f t="shared" si="27"/>
        <v>31.976400077695104</v>
      </c>
      <c r="J47">
        <f t="shared" si="28"/>
        <v>2.8832371370725567E-2</v>
      </c>
      <c r="K47">
        <f t="shared" si="29"/>
        <v>0.10091329979753949</v>
      </c>
      <c r="L47">
        <f t="shared" si="30"/>
        <v>12.25</v>
      </c>
      <c r="M47">
        <f t="shared" si="31"/>
        <v>0.35319654929138822</v>
      </c>
    </row>
    <row r="48" spans="1:13" x14ac:dyDescent="0.3">
      <c r="A48" s="7">
        <v>4</v>
      </c>
      <c r="B48" s="7">
        <f t="shared" si="32"/>
        <v>40</v>
      </c>
      <c r="C48" s="7">
        <f t="shared" si="22"/>
        <v>30.969879009874187</v>
      </c>
      <c r="D48" s="7">
        <f t="shared" si="23"/>
        <v>2.7924814886901284E-2</v>
      </c>
      <c r="E48" s="7">
        <f t="shared" si="24"/>
        <v>0.11169925954760514</v>
      </c>
      <c r="F48" s="7">
        <f t="shared" si="25"/>
        <v>18</v>
      </c>
      <c r="G48" s="7">
        <f t="shared" si="26"/>
        <v>0.50264666796422308</v>
      </c>
      <c r="I48">
        <f t="shared" si="27"/>
        <v>30.969879009874187</v>
      </c>
      <c r="J48">
        <f t="shared" si="28"/>
        <v>2.792481488690127E-2</v>
      </c>
      <c r="K48">
        <f t="shared" si="29"/>
        <v>0.11169925954760508</v>
      </c>
      <c r="L48">
        <f t="shared" si="30"/>
        <v>16</v>
      </c>
      <c r="M48">
        <f t="shared" si="31"/>
        <v>0.44679703819042033</v>
      </c>
    </row>
    <row r="49" spans="1:13" x14ac:dyDescent="0.3">
      <c r="A49" s="7">
        <v>4.5</v>
      </c>
      <c r="B49" s="7">
        <f t="shared" si="32"/>
        <v>40</v>
      </c>
      <c r="C49" s="7">
        <f t="shared" si="22"/>
        <v>29.995040203267976</v>
      </c>
      <c r="D49" s="7">
        <f t="shared" si="23"/>
        <v>2.7045825556320853E-2</v>
      </c>
      <c r="E49" s="7">
        <f t="shared" si="24"/>
        <v>0.12170621500344384</v>
      </c>
      <c r="F49" s="7">
        <f t="shared" si="25"/>
        <v>22.5</v>
      </c>
      <c r="G49" s="7">
        <f t="shared" si="26"/>
        <v>0.60853107501721915</v>
      </c>
      <c r="I49">
        <f t="shared" si="27"/>
        <v>29.995040203267983</v>
      </c>
      <c r="J49">
        <f t="shared" si="28"/>
        <v>2.704582555632085E-2</v>
      </c>
      <c r="K49">
        <f t="shared" si="29"/>
        <v>0.12170621500344382</v>
      </c>
      <c r="L49">
        <f t="shared" si="30"/>
        <v>20.25</v>
      </c>
      <c r="M49">
        <f t="shared" si="31"/>
        <v>0.54767796751549724</v>
      </c>
    </row>
    <row r="50" spans="1:13" x14ac:dyDescent="0.3">
      <c r="A50" s="7">
        <v>5</v>
      </c>
      <c r="B50" s="7">
        <f t="shared" si="32"/>
        <v>40</v>
      </c>
      <c r="C50" s="7">
        <f t="shared" si="22"/>
        <v>29.050886395416928</v>
      </c>
      <c r="D50" s="7">
        <f t="shared" si="23"/>
        <v>2.6194504170770804E-2</v>
      </c>
      <c r="E50" s="7">
        <f t="shared" si="24"/>
        <v>0.13097252085385402</v>
      </c>
      <c r="F50" s="7">
        <f t="shared" si="25"/>
        <v>27.5</v>
      </c>
      <c r="G50" s="7">
        <f t="shared" si="26"/>
        <v>0.72034886469619708</v>
      </c>
      <c r="I50">
        <f t="shared" si="27"/>
        <v>29.050886395416935</v>
      </c>
      <c r="J50">
        <f t="shared" si="28"/>
        <v>2.6194504170770801E-2</v>
      </c>
      <c r="K50">
        <f t="shared" si="29"/>
        <v>0.130972520853854</v>
      </c>
      <c r="L50">
        <f t="shared" si="30"/>
        <v>25</v>
      </c>
      <c r="M50">
        <f t="shared" si="31"/>
        <v>0.65486260426927001</v>
      </c>
    </row>
    <row r="51" spans="1:13" x14ac:dyDescent="0.3">
      <c r="A51" s="7">
        <v>5.5</v>
      </c>
      <c r="B51" s="7">
        <f t="shared" si="32"/>
        <v>40</v>
      </c>
      <c r="C51" s="7">
        <f t="shared" si="22"/>
        <v>28.136451714689521</v>
      </c>
      <c r="D51" s="7">
        <f t="shared" si="23"/>
        <v>2.5369979826412405E-2</v>
      </c>
      <c r="E51" s="7">
        <f t="shared" si="24"/>
        <v>0.13953488904526823</v>
      </c>
      <c r="F51" s="7">
        <f t="shared" si="25"/>
        <v>33</v>
      </c>
      <c r="G51" s="7">
        <f t="shared" si="26"/>
        <v>0.83720933427160937</v>
      </c>
      <c r="I51">
        <f t="shared" si="27"/>
        <v>28.136451714689521</v>
      </c>
      <c r="J51">
        <f t="shared" si="28"/>
        <v>2.5369979826412394E-2</v>
      </c>
      <c r="K51">
        <f t="shared" si="29"/>
        <v>0.13953488904526817</v>
      </c>
      <c r="L51">
        <f t="shared" si="30"/>
        <v>30.25</v>
      </c>
      <c r="M51">
        <f t="shared" si="31"/>
        <v>0.76744188974897487</v>
      </c>
    </row>
    <row r="52" spans="1:13" x14ac:dyDescent="0.3">
      <c r="A52" s="7">
        <v>6</v>
      </c>
      <c r="B52" s="7">
        <f t="shared" si="32"/>
        <v>40</v>
      </c>
      <c r="C52" s="7">
        <f t="shared" si="22"/>
        <v>27.250800692193241</v>
      </c>
      <c r="D52" s="7">
        <f t="shared" si="23"/>
        <v>2.4571409032844944E-2</v>
      </c>
      <c r="E52" s="7">
        <f t="shared" si="24"/>
        <v>0.14742845419706968</v>
      </c>
      <c r="F52" s="7">
        <f t="shared" si="25"/>
        <v>39</v>
      </c>
      <c r="G52" s="7">
        <f t="shared" si="26"/>
        <v>0.95828495228095278</v>
      </c>
      <c r="I52">
        <f t="shared" si="27"/>
        <v>27.250800692193241</v>
      </c>
      <c r="J52">
        <f t="shared" si="28"/>
        <v>2.4571409032844934E-2</v>
      </c>
      <c r="K52">
        <f t="shared" si="29"/>
        <v>0.1474284541970696</v>
      </c>
      <c r="L52">
        <f t="shared" si="30"/>
        <v>36</v>
      </c>
      <c r="M52">
        <f t="shared" si="31"/>
        <v>0.88457072518241764</v>
      </c>
    </row>
    <row r="53" spans="1:13" x14ac:dyDescent="0.3">
      <c r="A53" s="7">
        <v>6.5</v>
      </c>
      <c r="B53" s="7">
        <f t="shared" si="32"/>
        <v>40</v>
      </c>
      <c r="C53" s="7">
        <f t="shared" si="22"/>
        <v>26.393027304787644</v>
      </c>
      <c r="D53" s="7">
        <f t="shared" si="23"/>
        <v>2.3797974850213021E-2</v>
      </c>
      <c r="E53" s="7">
        <f t="shared" si="24"/>
        <v>0.15468683652638462</v>
      </c>
      <c r="F53" s="7">
        <f t="shared" si="25"/>
        <v>45.5</v>
      </c>
      <c r="G53" s="7">
        <f t="shared" si="26"/>
        <v>1.0828078556846925</v>
      </c>
      <c r="I53">
        <f t="shared" si="27"/>
        <v>26.393027304787648</v>
      </c>
      <c r="J53">
        <f t="shared" si="28"/>
        <v>2.3797974850213014E-2</v>
      </c>
      <c r="K53">
        <f t="shared" si="29"/>
        <v>0.1546868365263846</v>
      </c>
      <c r="L53">
        <f t="shared" si="30"/>
        <v>42.25</v>
      </c>
      <c r="M53">
        <f t="shared" si="31"/>
        <v>1.0054644374214998</v>
      </c>
    </row>
    <row r="54" spans="1:13" x14ac:dyDescent="0.3">
      <c r="A54" s="7">
        <v>7</v>
      </c>
      <c r="B54" s="7">
        <f t="shared" si="32"/>
        <v>40</v>
      </c>
      <c r="C54" s="7">
        <f t="shared" si="22"/>
        <v>25.562254048220481</v>
      </c>
      <c r="D54" s="7">
        <f t="shared" si="23"/>
        <v>2.3048886053475083E-2</v>
      </c>
      <c r="E54" s="7">
        <f t="shared" si="24"/>
        <v>0.16134220237432559</v>
      </c>
      <c r="F54" s="7">
        <f t="shared" si="25"/>
        <v>52.5</v>
      </c>
      <c r="G54" s="7">
        <f t="shared" si="26"/>
        <v>1.2100665178074419</v>
      </c>
      <c r="I54">
        <f t="shared" si="27"/>
        <v>25.562254048220478</v>
      </c>
      <c r="J54">
        <f t="shared" si="28"/>
        <v>2.3048886053475069E-2</v>
      </c>
      <c r="K54">
        <f t="shared" si="29"/>
        <v>0.16134220237432548</v>
      </c>
      <c r="L54">
        <f t="shared" si="30"/>
        <v>49</v>
      </c>
      <c r="M54">
        <f t="shared" si="31"/>
        <v>1.1293954166202784</v>
      </c>
    </row>
    <row r="55" spans="1:13" x14ac:dyDescent="0.3">
      <c r="A55" s="7">
        <v>7.5</v>
      </c>
      <c r="B55" s="7">
        <f t="shared" si="32"/>
        <v>40</v>
      </c>
      <c r="C55" s="7">
        <f t="shared" si="22"/>
        <v>24.757631039438721</v>
      </c>
      <c r="D55" s="7">
        <f t="shared" si="23"/>
        <v>2.2323376322978285E-2</v>
      </c>
      <c r="E55" s="7">
        <f t="shared" si="24"/>
        <v>0.16742532242233715</v>
      </c>
      <c r="F55" s="7">
        <f t="shared" si="25"/>
        <v>60</v>
      </c>
      <c r="G55" s="7">
        <f t="shared" si="26"/>
        <v>1.3394025793786972</v>
      </c>
      <c r="I55">
        <f t="shared" si="27"/>
        <v>24.757631039438724</v>
      </c>
      <c r="J55">
        <f t="shared" si="28"/>
        <v>2.2323376322978282E-2</v>
      </c>
      <c r="K55">
        <f t="shared" si="29"/>
        <v>0.16742532242233713</v>
      </c>
      <c r="L55">
        <f t="shared" si="30"/>
        <v>56.25</v>
      </c>
      <c r="M55">
        <f t="shared" si="31"/>
        <v>1.2556899181675283</v>
      </c>
    </row>
    <row r="56" spans="1:13" x14ac:dyDescent="0.3">
      <c r="A56" s="7">
        <v>8</v>
      </c>
      <c r="B56" s="7">
        <f t="shared" si="32"/>
        <v>40</v>
      </c>
      <c r="C56" s="7">
        <f t="shared" si="22"/>
        <v>23.978335147156145</v>
      </c>
      <c r="D56" s="7">
        <f t="shared" si="23"/>
        <v>2.1620703460511658E-2</v>
      </c>
      <c r="E56" s="7">
        <f t="shared" si="24"/>
        <v>0.17296562768409326</v>
      </c>
      <c r="F56" s="7">
        <f t="shared" si="25"/>
        <v>68</v>
      </c>
      <c r="G56" s="7">
        <f t="shared" si="26"/>
        <v>1.4702078353147927</v>
      </c>
      <c r="I56">
        <f t="shared" si="27"/>
        <v>23.978335147156148</v>
      </c>
      <c r="J56">
        <f t="shared" si="28"/>
        <v>2.1620703460511651E-2</v>
      </c>
      <c r="K56">
        <f t="shared" si="29"/>
        <v>0.17296562768409321</v>
      </c>
      <c r="L56">
        <f t="shared" si="30"/>
        <v>64</v>
      </c>
      <c r="M56">
        <f t="shared" si="31"/>
        <v>1.3837250214727457</v>
      </c>
    </row>
    <row r="57" spans="1:13" x14ac:dyDescent="0.3">
      <c r="A57" s="7">
        <v>8.5</v>
      </c>
      <c r="B57" s="7">
        <f t="shared" si="32"/>
        <v>40</v>
      </c>
      <c r="C57" s="7">
        <f t="shared" si="22"/>
        <v>23.223569149788034</v>
      </c>
      <c r="D57" s="7">
        <f t="shared" si="23"/>
        <v>2.0940148630035505E-2</v>
      </c>
      <c r="E57" s="7">
        <f t="shared" si="24"/>
        <v>0.1779912633553018</v>
      </c>
      <c r="F57" s="7">
        <f t="shared" si="25"/>
        <v>76.5</v>
      </c>
      <c r="G57" s="7">
        <f t="shared" si="26"/>
        <v>1.6019213701977162</v>
      </c>
      <c r="I57">
        <f t="shared" si="27"/>
        <v>23.223569149788041</v>
      </c>
      <c r="J57">
        <f t="shared" si="28"/>
        <v>2.0940148630035502E-2</v>
      </c>
      <c r="K57">
        <f t="shared" si="29"/>
        <v>0.17799126335530177</v>
      </c>
      <c r="L57">
        <f t="shared" si="30"/>
        <v>72.25</v>
      </c>
      <c r="M57">
        <f t="shared" si="31"/>
        <v>1.512925738520065</v>
      </c>
    </row>
    <row r="58" spans="1:13" x14ac:dyDescent="0.3">
      <c r="A58" s="7">
        <v>9</v>
      </c>
      <c r="B58" s="7">
        <f t="shared" si="32"/>
        <v>40</v>
      </c>
      <c r="C58" s="7">
        <f t="shared" si="22"/>
        <v>22.492560919891559</v>
      </c>
      <c r="D58" s="7">
        <f t="shared" si="23"/>
        <v>2.0281015622310414E-2</v>
      </c>
      <c r="E58" s="7">
        <f t="shared" si="24"/>
        <v>0.18252914060079373</v>
      </c>
      <c r="F58" s="7">
        <f t="shared" si="25"/>
        <v>85.5</v>
      </c>
      <c r="G58" s="7">
        <f t="shared" si="26"/>
        <v>1.7340268357075403</v>
      </c>
      <c r="I58">
        <f t="shared" si="27"/>
        <v>22.492560919891563</v>
      </c>
      <c r="J58">
        <f t="shared" si="28"/>
        <v>2.0281015622310411E-2</v>
      </c>
      <c r="K58">
        <f t="shared" si="29"/>
        <v>0.1825291406007937</v>
      </c>
      <c r="L58">
        <f t="shared" si="30"/>
        <v>81</v>
      </c>
      <c r="M58">
        <f t="shared" si="31"/>
        <v>1.6427622654071432</v>
      </c>
    </row>
    <row r="59" spans="1:13" x14ac:dyDescent="0.3">
      <c r="A59" s="7">
        <v>9.5</v>
      </c>
      <c r="B59" s="7">
        <f t="shared" si="32"/>
        <v>40</v>
      </c>
      <c r="C59" s="7">
        <f t="shared" si="22"/>
        <v>21.784562634277542</v>
      </c>
      <c r="D59" s="7">
        <f t="shared" si="23"/>
        <v>1.9642630142673527E-2</v>
      </c>
      <c r="E59" s="7">
        <f t="shared" si="24"/>
        <v>0.18660498635539852</v>
      </c>
      <c r="F59" s="7">
        <f t="shared" si="25"/>
        <v>95</v>
      </c>
      <c r="G59" s="7">
        <f t="shared" si="26"/>
        <v>1.8660498635539851</v>
      </c>
      <c r="I59">
        <f t="shared" si="27"/>
        <v>21.784562634277545</v>
      </c>
      <c r="J59">
        <f t="shared" si="28"/>
        <v>1.9642630142673524E-2</v>
      </c>
      <c r="K59">
        <f t="shared" si="29"/>
        <v>0.18660498635539846</v>
      </c>
      <c r="L59">
        <f t="shared" si="30"/>
        <v>90.25</v>
      </c>
      <c r="M59">
        <f t="shared" si="31"/>
        <v>1.7727473703762855</v>
      </c>
    </row>
    <row r="60" spans="1:13" x14ac:dyDescent="0.3">
      <c r="A60" s="7">
        <v>10</v>
      </c>
      <c r="B60" s="7">
        <f>B59+B38</f>
        <v>1040</v>
      </c>
      <c r="C60" s="7">
        <f t="shared" si="22"/>
        <v>548.57010023362329</v>
      </c>
      <c r="D60" s="7">
        <f t="shared" si="23"/>
        <v>0.49463281715206947</v>
      </c>
      <c r="E60" s="7">
        <f t="shared" si="24"/>
        <v>4.9463281715206948</v>
      </c>
      <c r="F60" s="7">
        <f t="shared" si="25"/>
        <v>105</v>
      </c>
      <c r="G60" s="7">
        <f t="shared" si="26"/>
        <v>51.936445800967292</v>
      </c>
      <c r="I60">
        <f t="shared" si="27"/>
        <v>548.57010023362341</v>
      </c>
      <c r="J60">
        <f t="shared" si="28"/>
        <v>0.49463281715206936</v>
      </c>
      <c r="K60">
        <f t="shared" si="29"/>
        <v>4.9463281715206939</v>
      </c>
      <c r="L60">
        <f t="shared" si="30"/>
        <v>100</v>
      </c>
      <c r="M60">
        <f t="shared" si="31"/>
        <v>49.463281715206939</v>
      </c>
    </row>
    <row r="61" spans="1:13" x14ac:dyDescent="0.3">
      <c r="C61" s="7">
        <f>SUM(C41:C60)</f>
        <v>1109.0450961020069</v>
      </c>
      <c r="D61" s="7" t="s">
        <v>23</v>
      </c>
      <c r="E61" s="4">
        <f>SUM(E41:E60)</f>
        <v>7.2321996112082552</v>
      </c>
      <c r="F61" s="7" t="s">
        <v>24</v>
      </c>
      <c r="G61" s="4">
        <f>SUM(G41:G60)</f>
        <v>67.139904198611006</v>
      </c>
      <c r="I61">
        <f>SUM(I41:I60)</f>
        <v>1109.0450961020074</v>
      </c>
      <c r="J61" t="s">
        <v>38</v>
      </c>
      <c r="K61">
        <f>SUM(K41:K60)</f>
        <v>7.2321996112082534</v>
      </c>
      <c r="L61" t="s">
        <v>39</v>
      </c>
      <c r="M61">
        <f>SUM(M41:M60)</f>
        <v>63.52380439300687</v>
      </c>
    </row>
    <row r="62" spans="1:13" x14ac:dyDescent="0.3">
      <c r="D62" s="7" t="s">
        <v>25</v>
      </c>
      <c r="E62" s="4">
        <f>E61/(1+D37/F37)</f>
        <v>7.0045516815576319</v>
      </c>
      <c r="F62" s="7" t="s">
        <v>26</v>
      </c>
      <c r="G62" s="4">
        <f>G61/(1+D37/F37)^2</f>
        <v>62.979701304327058</v>
      </c>
      <c r="J62" t="s">
        <v>40</v>
      </c>
      <c r="K62">
        <f>K61</f>
        <v>7.2321996112082534</v>
      </c>
      <c r="L62" t="s">
        <v>41</v>
      </c>
      <c r="M62">
        <f>M61</f>
        <v>63.52380439300687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4"/>
  <sheetViews>
    <sheetView tabSelected="1" workbookViewId="0">
      <selection activeCell="N18" sqref="N18"/>
    </sheetView>
  </sheetViews>
  <sheetFormatPr defaultRowHeight="16.5" x14ac:dyDescent="0.3"/>
  <cols>
    <col min="7" max="7" width="9.5" style="17" bestFit="1" customWidth="1"/>
    <col min="8" max="8" width="9.5" style="17" customWidth="1"/>
  </cols>
  <sheetData>
    <row r="2" spans="1:14" x14ac:dyDescent="0.3">
      <c r="A2" s="5" t="s">
        <v>42</v>
      </c>
      <c r="L2" s="6">
        <f>LN(1+D3)</f>
        <v>4.8790164169432049E-2</v>
      </c>
    </row>
    <row r="3" spans="1:14" x14ac:dyDescent="0.3">
      <c r="A3" s="7" t="s">
        <v>1</v>
      </c>
      <c r="B3" s="6">
        <v>0.1</v>
      </c>
      <c r="C3" s="7" t="s">
        <v>34</v>
      </c>
      <c r="D3" s="6">
        <v>0.05</v>
      </c>
      <c r="E3" s="7" t="s">
        <v>3</v>
      </c>
      <c r="F3" s="7">
        <v>1</v>
      </c>
      <c r="J3" s="7" t="s">
        <v>4</v>
      </c>
      <c r="K3" s="6">
        <f>LN(1+D3)</f>
        <v>4.8790164169432049E-2</v>
      </c>
      <c r="M3" s="7">
        <v>1</v>
      </c>
    </row>
    <row r="4" spans="1:14" x14ac:dyDescent="0.3">
      <c r="A4" s="7" t="s">
        <v>6</v>
      </c>
      <c r="B4" s="7">
        <v>1000</v>
      </c>
    </row>
    <row r="5" spans="1:14" x14ac:dyDescent="0.3">
      <c r="C5" s="2" t="s">
        <v>43</v>
      </c>
      <c r="F5" s="2"/>
      <c r="J5" s="2" t="s">
        <v>8</v>
      </c>
      <c r="M5" s="2"/>
    </row>
    <row r="6" spans="1:14" x14ac:dyDescent="0.3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J6" s="7" t="s">
        <v>13</v>
      </c>
      <c r="K6" s="7" t="s">
        <v>14</v>
      </c>
      <c r="L6" s="7" t="s">
        <v>15</v>
      </c>
      <c r="M6" s="7" t="s">
        <v>18</v>
      </c>
      <c r="N6" s="7" t="s">
        <v>19</v>
      </c>
    </row>
    <row r="7" spans="1:14" x14ac:dyDescent="0.3">
      <c r="A7" s="7">
        <v>1</v>
      </c>
      <c r="B7" s="7">
        <f>B4*B3</f>
        <v>100</v>
      </c>
      <c r="C7" s="7">
        <f>B7/(1+$D$3)^(A7)</f>
        <v>95.238095238095241</v>
      </c>
      <c r="D7" s="7">
        <f>C7/$C$17</f>
        <v>7.8290294959826534E-2</v>
      </c>
      <c r="E7" s="7">
        <f>A7*D7</f>
        <v>7.8290294959826534E-2</v>
      </c>
      <c r="F7" s="7">
        <f>A7*(A7+1/$F$3)</f>
        <v>2</v>
      </c>
      <c r="G7" s="7">
        <f>F7*D7</f>
        <v>0.15658058991965307</v>
      </c>
      <c r="J7" s="7">
        <f>B7*EXP(-$K$3*A7)</f>
        <v>95.238095238095227</v>
      </c>
      <c r="K7" s="7">
        <f>J7/$J$17</f>
        <v>7.829029495982652E-2</v>
      </c>
      <c r="L7" s="7">
        <f>K7*A7</f>
        <v>7.829029495982652E-2</v>
      </c>
      <c r="M7" s="7">
        <f>A7^2</f>
        <v>1</v>
      </c>
      <c r="N7" s="7">
        <f>M7*K7</f>
        <v>7.829029495982652E-2</v>
      </c>
    </row>
    <row r="8" spans="1:14" x14ac:dyDescent="0.3">
      <c r="A8" s="7">
        <v>2</v>
      </c>
      <c r="B8" s="7">
        <f>B7</f>
        <v>100</v>
      </c>
      <c r="C8" s="7">
        <f>B8/(1+$D$3)^(A8)</f>
        <v>90.702947845804985</v>
      </c>
      <c r="D8" s="7">
        <f>C8/$C$17</f>
        <v>7.4562185676025253E-2</v>
      </c>
      <c r="E8" s="7">
        <f>A8*D8</f>
        <v>0.14912437135205051</v>
      </c>
      <c r="F8" s="7">
        <f>A8*(A8+1/$F$3)</f>
        <v>6</v>
      </c>
      <c r="G8" s="7">
        <f>F8*D8</f>
        <v>0.44737311405615154</v>
      </c>
      <c r="J8" s="7">
        <f>B8*EXP(-$K$3*A8)</f>
        <v>90.702947845804985</v>
      </c>
      <c r="K8" s="7">
        <f>J8/$J$17</f>
        <v>7.4562185676025253E-2</v>
      </c>
      <c r="L8" s="7">
        <f>K8*A8</f>
        <v>0.14912437135205051</v>
      </c>
      <c r="M8" s="7">
        <f>A8^2</f>
        <v>4</v>
      </c>
      <c r="N8" s="7">
        <f>M8*K8</f>
        <v>0.29824874270410101</v>
      </c>
    </row>
    <row r="9" spans="1:14" x14ac:dyDescent="0.3">
      <c r="A9" s="7">
        <v>3</v>
      </c>
      <c r="B9" s="7">
        <f>B8</f>
        <v>100</v>
      </c>
      <c r="C9" s="7">
        <f>B9/(1+$D$3)^(A9)</f>
        <v>86.383759853147595</v>
      </c>
      <c r="D9" s="7">
        <f>C9/$C$17</f>
        <v>7.1011605405738337E-2</v>
      </c>
      <c r="E9" s="7">
        <f>A9*D9</f>
        <v>0.21303481621721501</v>
      </c>
      <c r="F9" s="7">
        <f>A9*(A9+1/$F$3)</f>
        <v>12</v>
      </c>
      <c r="G9" s="7">
        <f>F9*D9</f>
        <v>0.85213926486886005</v>
      </c>
      <c r="J9" s="7">
        <f>B9*EXP(-$K$3*A9)</f>
        <v>86.383759853147595</v>
      </c>
      <c r="K9" s="7">
        <f>J9/$J$17</f>
        <v>7.1011605405738337E-2</v>
      </c>
      <c r="L9" s="7">
        <f>K9*A9</f>
        <v>0.21303481621721501</v>
      </c>
      <c r="M9" s="7">
        <f>A9^2</f>
        <v>9</v>
      </c>
      <c r="N9" s="7">
        <f>M9*K9</f>
        <v>0.63910444865164506</v>
      </c>
    </row>
    <row r="10" spans="1:14" x14ac:dyDescent="0.3">
      <c r="A10" s="7">
        <v>4</v>
      </c>
      <c r="B10" s="7">
        <f>B9</f>
        <v>100</v>
      </c>
      <c r="C10" s="7">
        <f>B10/(1+$D$3)^(A10)</f>
        <v>82.2702474791882</v>
      </c>
      <c r="D10" s="7">
        <f>C10/$C$17</f>
        <v>6.7630100386417466E-2</v>
      </c>
      <c r="E10" s="7">
        <f>A10*D10</f>
        <v>0.27052040154566986</v>
      </c>
      <c r="F10" s="7">
        <f>A10*(A10+1/$F$3)</f>
        <v>20</v>
      </c>
      <c r="G10" s="7">
        <f>F10*D10</f>
        <v>1.3526020077283494</v>
      </c>
      <c r="J10" s="7">
        <f>B10*EXP(-$K$3*A10)</f>
        <v>82.270247479188185</v>
      </c>
      <c r="K10" s="7">
        <f>J10/$J$17</f>
        <v>6.7630100386417466E-2</v>
      </c>
      <c r="L10" s="7">
        <f>K10*A10</f>
        <v>0.27052040154566986</v>
      </c>
      <c r="M10" s="7">
        <f>A10^2</f>
        <v>16</v>
      </c>
      <c r="N10" s="7">
        <f>M10*K10</f>
        <v>1.0820816061826795</v>
      </c>
    </row>
    <row r="11" spans="1:14" x14ac:dyDescent="0.3">
      <c r="A11" s="7">
        <v>5</v>
      </c>
      <c r="B11" s="7">
        <f>B10+B4</f>
        <v>1100</v>
      </c>
      <c r="C11" s="7">
        <f>B11/(1+$D$3)^(A11)</f>
        <v>861.87878311530483</v>
      </c>
      <c r="D11" s="7">
        <f>C11/$C$17</f>
        <v>0.70850581357199249</v>
      </c>
      <c r="E11" s="7">
        <f>A11*D11</f>
        <v>3.5425290678599626</v>
      </c>
      <c r="F11" s="7">
        <f>A11*(A11+1/$F$3)</f>
        <v>30</v>
      </c>
      <c r="G11" s="7">
        <f>F11*D11</f>
        <v>21.255174407159775</v>
      </c>
      <c r="J11" s="7">
        <f>B11*EXP(-$K$3*A11)</f>
        <v>861.87878311530471</v>
      </c>
      <c r="K11" s="7">
        <f>J11/$J$17</f>
        <v>0.70850581357199238</v>
      </c>
      <c r="L11" s="7">
        <f>K11*A11</f>
        <v>3.5425290678599621</v>
      </c>
      <c r="M11" s="7">
        <f>A11^2</f>
        <v>25</v>
      </c>
      <c r="N11" s="7">
        <f>M11*K11</f>
        <v>17.712645339299808</v>
      </c>
    </row>
    <row r="17" spans="2:14" x14ac:dyDescent="0.3">
      <c r="C17" s="7">
        <f>SUM(C7:C16)</f>
        <v>1216.4738335315408</v>
      </c>
      <c r="D17" s="7" t="s">
        <v>23</v>
      </c>
      <c r="E17" s="4">
        <f>SUM(E7:E16)</f>
        <v>4.2534989519347244</v>
      </c>
      <c r="F17" s="7" t="s">
        <v>24</v>
      </c>
      <c r="G17" s="4">
        <f>SUM(G7:G16)</f>
        <v>24.06386938373279</v>
      </c>
      <c r="J17" s="7">
        <f>SUM(J7:J16)</f>
        <v>1216.4738335315408</v>
      </c>
      <c r="K17" s="7" t="s">
        <v>23</v>
      </c>
      <c r="L17" s="4">
        <f>SUM(L7:L16)</f>
        <v>4.2534989519347235</v>
      </c>
      <c r="M17" s="7" t="s">
        <v>24</v>
      </c>
      <c r="N17" s="4">
        <f>SUM(N7:N16)</f>
        <v>19.810370431798059</v>
      </c>
    </row>
    <row r="18" spans="2:14" x14ac:dyDescent="0.3">
      <c r="D18" s="7" t="s">
        <v>25</v>
      </c>
      <c r="E18" s="4">
        <f>E17/(1+$D$3/$F$3)</f>
        <v>4.0509513827949757</v>
      </c>
      <c r="F18" s="7" t="s">
        <v>26</v>
      </c>
      <c r="G18" s="4">
        <f>G17/(1+D3/F3)^2</f>
        <v>21.826638896809786</v>
      </c>
      <c r="K18" s="7" t="s">
        <v>25</v>
      </c>
      <c r="L18" s="4">
        <f>L17</f>
        <v>4.2534989519347235</v>
      </c>
      <c r="M18" s="7" t="s">
        <v>26</v>
      </c>
      <c r="N18" s="4">
        <f>N17</f>
        <v>19.810370431798059</v>
      </c>
    </row>
    <row r="20" spans="2:14" x14ac:dyDescent="0.3">
      <c r="B20" s="7" t="s">
        <v>35</v>
      </c>
      <c r="C20" s="1">
        <v>0.01</v>
      </c>
      <c r="I20" s="7" t="s">
        <v>35</v>
      </c>
      <c r="J20" s="1">
        <v>0.01</v>
      </c>
    </row>
    <row r="22" spans="2:14" x14ac:dyDescent="0.3">
      <c r="B22" s="7" t="s">
        <v>36</v>
      </c>
      <c r="C22" s="7">
        <f>C17</f>
        <v>1216.4738335315408</v>
      </c>
      <c r="E22" s="13" t="s">
        <v>20</v>
      </c>
      <c r="F22" s="7">
        <f>-E18*C20</f>
        <v>-4.0509513827949754E-2</v>
      </c>
      <c r="G22" s="15">
        <f>F22-C24</f>
        <v>-1.0682362711411583E-3</v>
      </c>
      <c r="I22" s="7" t="s">
        <v>36</v>
      </c>
      <c r="J22" s="7">
        <f>J17</f>
        <v>1216.4738335315408</v>
      </c>
      <c r="L22" s="13" t="s">
        <v>20</v>
      </c>
      <c r="M22" s="7">
        <f>-L17*J20</f>
        <v>-4.2534989519347234E-2</v>
      </c>
      <c r="N22" s="14">
        <f>M22-J24</f>
        <v>-9.7479732267450464E-4</v>
      </c>
    </row>
    <row r="23" spans="2:14" x14ac:dyDescent="0.3">
      <c r="B23" s="7" t="s">
        <v>37</v>
      </c>
      <c r="C23" s="7">
        <f>SUMPRODUCT($B$7:$B$16/(1+($D$3+$C$20)/$F$3)^($A$7:$A$16*$F$3))</f>
        <v>1168.4945514226283</v>
      </c>
      <c r="E23" s="7" t="s">
        <v>21</v>
      </c>
      <c r="F23" s="7">
        <f>F22+0.5*G18*C20^2</f>
        <v>-3.9418181883109263E-2</v>
      </c>
      <c r="G23" s="15">
        <f>F23-C24</f>
        <v>2.3095673699333186E-5</v>
      </c>
      <c r="I23" s="7" t="s">
        <v>37</v>
      </c>
      <c r="J23" s="7">
        <f>SUMPRODUCT($B$7:$B$16*EXP(-($K$3+$J$20)*$A$7:$A$16))</f>
        <v>1165.9169472077467</v>
      </c>
      <c r="L23" s="7" t="s">
        <v>21</v>
      </c>
      <c r="M23" s="7">
        <f>M22+0.5*N17*J20^2</f>
        <v>-4.1544470997757328E-2</v>
      </c>
      <c r="N23" s="14">
        <f>M23-J24</f>
        <v>1.5721198915401302E-5</v>
      </c>
    </row>
    <row r="24" spans="2:14" x14ac:dyDescent="0.3">
      <c r="C24" s="7">
        <f>C23/C22-1</f>
        <v>-3.9441277556808596E-2</v>
      </c>
      <c r="J24" s="7">
        <f>J23/J22-1</f>
        <v>-4.1560192196672729E-2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Semiannual bonds</vt:lpstr>
      <vt:lpstr>Annual bond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정지웅[ 교수 / 경영학과 ]</dc:creator>
  <cp:lastModifiedBy>정지웅</cp:lastModifiedBy>
  <dcterms:created xsi:type="dcterms:W3CDTF">2024-05-02T04:46:12Z</dcterms:created>
  <dcterms:modified xsi:type="dcterms:W3CDTF">2026-08-25T10:52:44Z</dcterms:modified>
</cp:coreProperties>
</file>